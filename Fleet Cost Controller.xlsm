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agy\Desktop\Projects\VBA_Flagship_Project\"/>
    </mc:Choice>
  </mc:AlternateContent>
  <xr:revisionPtr revIDLastSave="0" documentId="13_ncr:1_{5D415C56-D537-4465-A30D-1F0C29E2F3CF}" xr6:coauthVersionLast="47" xr6:coauthVersionMax="47" xr10:uidLastSave="{00000000-0000-0000-0000-000000000000}"/>
  <bookViews>
    <workbookView xWindow="-28920" yWindow="-120" windowWidth="29040" windowHeight="15720" xr2:uid="{CD401632-7D02-411A-B7D0-3350D263133B}"/>
  </bookViews>
  <sheets>
    <sheet name="KPI_DASHBOARD" sheetId="6" r:id="rId1"/>
    <sheet name="RAW_DATA" sheetId="1" r:id="rId2"/>
    <sheet name="BUDGET" sheetId="2" r:id="rId3"/>
    <sheet name="SUMMARY" sheetId="3" r:id="rId4"/>
    <sheet name="VARIANCE" sheetId="4" r:id="rId5"/>
  </sheets>
  <functionGroups builtInGroupCount="19"/>
  <definedNames>
    <definedName name="_xlnm.Print_Area" localSheetId="0">KPI_DASHBOARD!$A$1:$E$18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" i="4"/>
  <c r="C2" i="4"/>
  <c r="E2" i="4" s="1"/>
  <c r="C3" i="4"/>
  <c r="E3" i="4" s="1"/>
  <c r="C4" i="4"/>
  <c r="E4" i="4" s="1"/>
  <c r="F4" i="4" s="1"/>
  <c r="C5" i="4"/>
  <c r="E5" i="4" s="1"/>
  <c r="F5" i="4" s="1"/>
  <c r="C6" i="4"/>
  <c r="E6" i="4" s="1"/>
  <c r="F6" i="4" s="1"/>
  <c r="C7" i="4"/>
  <c r="E7" i="4" s="1"/>
  <c r="F7" i="4" s="1"/>
  <c r="C8" i="4"/>
  <c r="E8" i="4" s="1"/>
  <c r="F8" i="4" s="1"/>
  <c r="C9" i="4"/>
  <c r="E9" i="4" s="1"/>
  <c r="F9" i="4" s="1"/>
  <c r="C10" i="4"/>
  <c r="E10" i="4" s="1"/>
  <c r="F10" i="4" s="1"/>
  <c r="C11" i="4"/>
  <c r="E11" i="4" s="1"/>
  <c r="F11" i="4" s="1"/>
  <c r="C12" i="4"/>
  <c r="E12" i="4" s="1"/>
  <c r="F12" i="4" s="1"/>
  <c r="C13" i="4"/>
  <c r="E13" i="4" s="1"/>
  <c r="F13" i="4" s="1"/>
  <c r="C14" i="4"/>
  <c r="E14" i="4" s="1"/>
  <c r="F14" i="4" s="1"/>
  <c r="C15" i="4"/>
  <c r="E15" i="4" s="1"/>
  <c r="F15" i="4" s="1"/>
  <c r="C16" i="4"/>
  <c r="E16" i="4" s="1"/>
  <c r="F16" i="4" s="1"/>
  <c r="C17" i="4"/>
  <c r="E17" i="4" s="1"/>
  <c r="F17" i="4" s="1"/>
  <c r="C18" i="4"/>
  <c r="E18" i="4" s="1"/>
  <c r="F18" i="4" s="1"/>
  <c r="C19" i="4"/>
  <c r="E19" i="4" s="1"/>
  <c r="F19" i="4" s="1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K2" i="4"/>
  <c r="K3" i="4"/>
  <c r="M3" i="4" s="1"/>
  <c r="K4" i="4"/>
  <c r="K5" i="4"/>
  <c r="K6" i="4"/>
  <c r="K7" i="4"/>
  <c r="K8" i="4"/>
  <c r="K9" i="4"/>
  <c r="M9" i="4" s="1"/>
  <c r="K10" i="4"/>
  <c r="M10" i="4" s="1"/>
  <c r="K11" i="4"/>
  <c r="K12" i="4"/>
  <c r="K13" i="4"/>
  <c r="K14" i="4"/>
  <c r="K15" i="4"/>
  <c r="K16" i="4"/>
  <c r="M16" i="4" s="1"/>
  <c r="K17" i="4"/>
  <c r="K18" i="4"/>
  <c r="M18" i="4" s="1"/>
  <c r="K19" i="4"/>
  <c r="M19" i="4" s="1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G2" i="4"/>
  <c r="I2" i="4" s="1"/>
  <c r="J2" i="4" s="1"/>
  <c r="G3" i="4"/>
  <c r="I3" i="4" s="1"/>
  <c r="J3" i="4" s="1"/>
  <c r="G4" i="4"/>
  <c r="I4" i="4" s="1"/>
  <c r="J4" i="4" s="1"/>
  <c r="G5" i="4"/>
  <c r="I5" i="4" s="1"/>
  <c r="J5" i="4" s="1"/>
  <c r="G6" i="4"/>
  <c r="I6" i="4" s="1"/>
  <c r="J6" i="4" s="1"/>
  <c r="G7" i="4"/>
  <c r="G8" i="4"/>
  <c r="G9" i="4"/>
  <c r="I9" i="4" s="1"/>
  <c r="J9" i="4" s="1"/>
  <c r="G10" i="4"/>
  <c r="I10" i="4" s="1"/>
  <c r="J10" i="4" s="1"/>
  <c r="G11" i="4"/>
  <c r="I11" i="4" s="1"/>
  <c r="J11" i="4" s="1"/>
  <c r="G12" i="4"/>
  <c r="I12" i="4" s="1"/>
  <c r="J12" i="4" s="1"/>
  <c r="G13" i="4"/>
  <c r="I13" i="4" s="1"/>
  <c r="J13" i="4" s="1"/>
  <c r="G14" i="4"/>
  <c r="I14" i="4" s="1"/>
  <c r="J14" i="4" s="1"/>
  <c r="G15" i="4"/>
  <c r="I15" i="4" s="1"/>
  <c r="J15" i="4" s="1"/>
  <c r="G16" i="4"/>
  <c r="I16" i="4" s="1"/>
  <c r="J16" i="4" s="1"/>
  <c r="G17" i="4"/>
  <c r="I17" i="4" s="1"/>
  <c r="J17" i="4" s="1"/>
  <c r="G18" i="4"/>
  <c r="I18" i="4" s="1"/>
  <c r="J18" i="4" s="1"/>
  <c r="G19" i="4"/>
  <c r="I19" i="4" s="1"/>
  <c r="J19" i="4" s="1"/>
  <c r="D12" i="3"/>
  <c r="D13" i="3"/>
  <c r="D14" i="3"/>
  <c r="D15" i="3"/>
  <c r="D16" i="3"/>
  <c r="D11" i="3"/>
  <c r="C12" i="3"/>
  <c r="C13" i="3"/>
  <c r="C14" i="3"/>
  <c r="C15" i="3"/>
  <c r="C16" i="3"/>
  <c r="C11" i="3"/>
  <c r="B11" i="3"/>
  <c r="D42" i="3"/>
  <c r="D38" i="3"/>
  <c r="C39" i="3"/>
  <c r="C38" i="3"/>
  <c r="D43" i="3"/>
  <c r="D41" i="3"/>
  <c r="D40" i="3"/>
  <c r="D39" i="3"/>
  <c r="C43" i="3"/>
  <c r="C42" i="3"/>
  <c r="C41" i="3"/>
  <c r="C40" i="3"/>
  <c r="B39" i="3"/>
  <c r="B40" i="3"/>
  <c r="B41" i="3"/>
  <c r="B42" i="3"/>
  <c r="B43" i="3"/>
  <c r="B38" i="3"/>
  <c r="B12" i="3"/>
  <c r="B13" i="3"/>
  <c r="B14" i="3"/>
  <c r="B15" i="3"/>
  <c r="B16" i="3"/>
  <c r="D3" i="3"/>
  <c r="D4" i="3"/>
  <c r="D5" i="3"/>
  <c r="D6" i="3"/>
  <c r="D7" i="3"/>
  <c r="E7" i="3" s="1"/>
  <c r="C3" i="3"/>
  <c r="C4" i="3"/>
  <c r="C5" i="3"/>
  <c r="C6" i="3"/>
  <c r="C7" i="3"/>
  <c r="D2" i="3"/>
  <c r="C2" i="3"/>
  <c r="B2" i="3"/>
  <c r="B3" i="3"/>
  <c r="B21" i="3" s="1"/>
  <c r="B30" i="3" s="1"/>
  <c r="B4" i="3"/>
  <c r="B5" i="3"/>
  <c r="B6" i="3"/>
  <c r="B7" i="3"/>
  <c r="F2" i="4" l="1"/>
  <c r="B12" i="6"/>
  <c r="E12" i="6" s="1"/>
  <c r="C12" i="6"/>
  <c r="F3" i="4"/>
  <c r="C13" i="6"/>
  <c r="E43" i="3"/>
  <c r="C44" i="3"/>
  <c r="C8" i="6" s="1"/>
  <c r="D13" i="6"/>
  <c r="E39" i="3"/>
  <c r="E41" i="3"/>
  <c r="B22" i="3"/>
  <c r="B31" i="3" s="1"/>
  <c r="D12" i="6"/>
  <c r="N13" i="4"/>
  <c r="N17" i="4"/>
  <c r="N9" i="4"/>
  <c r="M17" i="4"/>
  <c r="M15" i="4"/>
  <c r="M14" i="4"/>
  <c r="M11" i="4"/>
  <c r="N8" i="4"/>
  <c r="M8" i="4"/>
  <c r="N7" i="4"/>
  <c r="N6" i="4"/>
  <c r="N16" i="4"/>
  <c r="N14" i="4"/>
  <c r="N5" i="4"/>
  <c r="M2" i="4"/>
  <c r="N4" i="4"/>
  <c r="N3" i="4"/>
  <c r="N15" i="4"/>
  <c r="M7" i="4"/>
  <c r="M6" i="4"/>
  <c r="N12" i="4"/>
  <c r="I8" i="4"/>
  <c r="M13" i="4"/>
  <c r="M5" i="4"/>
  <c r="N19" i="4"/>
  <c r="N11" i="4"/>
  <c r="I7" i="4"/>
  <c r="J7" i="4" s="1"/>
  <c r="M12" i="4"/>
  <c r="M4" i="4"/>
  <c r="N18" i="4"/>
  <c r="N10" i="4"/>
  <c r="B44" i="3"/>
  <c r="B8" i="6" s="1"/>
  <c r="B25" i="3"/>
  <c r="B34" i="3" s="1"/>
  <c r="B24" i="3"/>
  <c r="B33" i="3" s="1"/>
  <c r="E38" i="3"/>
  <c r="D44" i="3"/>
  <c r="D8" i="6" s="1"/>
  <c r="B23" i="3"/>
  <c r="B32" i="3" s="1"/>
  <c r="E42" i="3"/>
  <c r="E40" i="3"/>
  <c r="D24" i="3"/>
  <c r="D33" i="3" s="1"/>
  <c r="B8" i="3"/>
  <c r="B5" i="6" s="1"/>
  <c r="B9" i="6" s="1"/>
  <c r="E6" i="3"/>
  <c r="D23" i="3"/>
  <c r="D32" i="3" s="1"/>
  <c r="C24" i="3"/>
  <c r="C33" i="3" s="1"/>
  <c r="D22" i="3"/>
  <c r="D31" i="3" s="1"/>
  <c r="D25" i="3"/>
  <c r="D34" i="3" s="1"/>
  <c r="E3" i="3"/>
  <c r="C23" i="3"/>
  <c r="D21" i="3"/>
  <c r="D30" i="3" s="1"/>
  <c r="D20" i="3"/>
  <c r="D29" i="3" s="1"/>
  <c r="N2" i="4"/>
  <c r="E16" i="3"/>
  <c r="E13" i="3"/>
  <c r="E12" i="3"/>
  <c r="D17" i="3"/>
  <c r="C17" i="3"/>
  <c r="C32" i="3"/>
  <c r="E15" i="3"/>
  <c r="C22" i="3"/>
  <c r="E11" i="3"/>
  <c r="E14" i="3"/>
  <c r="C25" i="3"/>
  <c r="C21" i="3"/>
  <c r="C20" i="3"/>
  <c r="B17" i="3"/>
  <c r="B20" i="3"/>
  <c r="D8" i="3"/>
  <c r="D5" i="6" s="1"/>
  <c r="E5" i="3"/>
  <c r="E4" i="3"/>
  <c r="C8" i="3"/>
  <c r="C5" i="6" s="1"/>
  <c r="C9" i="6" s="1"/>
  <c r="E2" i="3"/>
  <c r="C14" i="6" l="1"/>
  <c r="D14" i="6"/>
  <c r="J8" i="4"/>
  <c r="B13" i="6"/>
  <c r="E13" i="6" s="1"/>
  <c r="D9" i="6"/>
  <c r="B14" i="6"/>
  <c r="E14" i="6" s="1"/>
  <c r="E23" i="3"/>
  <c r="E32" i="3" s="1"/>
  <c r="E24" i="3"/>
  <c r="E33" i="3" s="1"/>
  <c r="D26" i="3"/>
  <c r="E8" i="3"/>
  <c r="E5" i="6" s="1"/>
  <c r="E9" i="6" s="1"/>
  <c r="E44" i="3"/>
  <c r="E8" i="6" s="1"/>
  <c r="E17" i="3"/>
  <c r="E22" i="3"/>
  <c r="E31" i="3" s="1"/>
  <c r="C31" i="3"/>
  <c r="C26" i="3"/>
  <c r="C29" i="3"/>
  <c r="E21" i="3"/>
  <c r="E30" i="3" s="1"/>
  <c r="C30" i="3"/>
  <c r="E25" i="3"/>
  <c r="E34" i="3" s="1"/>
  <c r="C34" i="3"/>
  <c r="B26" i="3"/>
  <c r="E20" i="3"/>
  <c r="E29" i="3" s="1"/>
  <c r="B29" i="3"/>
  <c r="D35" i="3" l="1"/>
  <c r="D6" i="6"/>
  <c r="D7" i="6" s="1"/>
  <c r="B35" i="3"/>
  <c r="B6" i="6"/>
  <c r="B7" i="6" s="1"/>
  <c r="C35" i="3"/>
  <c r="C6" i="6"/>
  <c r="C7" i="6" s="1"/>
  <c r="E26" i="3"/>
  <c r="E35" i="3" l="1"/>
  <c r="E6" i="6"/>
  <c r="E7" i="6" s="1"/>
</calcChain>
</file>

<file path=xl/sharedStrings.xml><?xml version="1.0" encoding="utf-8"?>
<sst xmlns="http://schemas.openxmlformats.org/spreadsheetml/2006/main" count="1989" uniqueCount="361">
  <si>
    <t>Transaction_ID</t>
  </si>
  <si>
    <t>Period</t>
  </si>
  <si>
    <t>Month</t>
  </si>
  <si>
    <t>Vehicle_Class</t>
  </si>
  <si>
    <t>Vehicle_Type</t>
  </si>
  <si>
    <t>Rental_Days</t>
  </si>
  <si>
    <t>Revenue_EUR</t>
  </si>
  <si>
    <t>Variable_Cost_EUR</t>
  </si>
  <si>
    <t>Fixed_Cost_Allocation_EUR</t>
  </si>
  <si>
    <t>Depreciation_EUR</t>
  </si>
  <si>
    <t>Branch</t>
  </si>
  <si>
    <t>TXN-0001</t>
  </si>
  <si>
    <t>2025-01</t>
  </si>
  <si>
    <t>January</t>
  </si>
  <si>
    <t>EQS</t>
  </si>
  <si>
    <t>Electric</t>
  </si>
  <si>
    <t>Berlin</t>
  </si>
  <si>
    <t>TXN-0002</t>
  </si>
  <si>
    <t>Sprinter</t>
  </si>
  <si>
    <t>Combustion</t>
  </si>
  <si>
    <t>Hamburg</t>
  </si>
  <si>
    <t>TXN-0003</t>
  </si>
  <si>
    <t>E-Class</t>
  </si>
  <si>
    <t>Munich</t>
  </si>
  <si>
    <t>TXN-0004</t>
  </si>
  <si>
    <t>2025-03</t>
  </si>
  <si>
    <t>March</t>
  </si>
  <si>
    <t>TXN-0005</t>
  </si>
  <si>
    <t>GLE</t>
  </si>
  <si>
    <t>TXN-0006</t>
  </si>
  <si>
    <t>A-Class</t>
  </si>
  <si>
    <t>TXN-0007</t>
  </si>
  <si>
    <t>TXN-0008</t>
  </si>
  <si>
    <t>2025-02</t>
  </si>
  <si>
    <t>February</t>
  </si>
  <si>
    <t>C-Class</t>
  </si>
  <si>
    <t>TXN-0009</t>
  </si>
  <si>
    <t>TXN-0010</t>
  </si>
  <si>
    <t>TXN-0011</t>
  </si>
  <si>
    <t>TXN-0012</t>
  </si>
  <si>
    <t>TXN-0013</t>
  </si>
  <si>
    <t>TXN-0014</t>
  </si>
  <si>
    <t>TXN-0015</t>
  </si>
  <si>
    <t>TXN-0016</t>
  </si>
  <si>
    <t>TXN-0017</t>
  </si>
  <si>
    <t>TXN-0018</t>
  </si>
  <si>
    <t>TXN-0019</t>
  </si>
  <si>
    <t>TXN-0020</t>
  </si>
  <si>
    <t>TXN-0021</t>
  </si>
  <si>
    <t>TXN-0022</t>
  </si>
  <si>
    <t>TXN-0023</t>
  </si>
  <si>
    <t>TXN-0024</t>
  </si>
  <si>
    <t>TXN-0025</t>
  </si>
  <si>
    <t>TXN-0026</t>
  </si>
  <si>
    <t>TXN-0027</t>
  </si>
  <si>
    <t>TXN-0028</t>
  </si>
  <si>
    <t>TXN-0029</t>
  </si>
  <si>
    <t>TXN-0030</t>
  </si>
  <si>
    <t>TXN-0031</t>
  </si>
  <si>
    <t>TXN-0032</t>
  </si>
  <si>
    <t>TXN-0033</t>
  </si>
  <si>
    <t>TXN-0034</t>
  </si>
  <si>
    <t>TXN-0035</t>
  </si>
  <si>
    <t>TXN-0036</t>
  </si>
  <si>
    <t>TXN-0037</t>
  </si>
  <si>
    <t>TXN-0038</t>
  </si>
  <si>
    <t>TXN-0039</t>
  </si>
  <si>
    <t>TXN-0040</t>
  </si>
  <si>
    <t>TXN-0041</t>
  </si>
  <si>
    <t>TXN-0042</t>
  </si>
  <si>
    <t>TXN-0043</t>
  </si>
  <si>
    <t>TXN-0044</t>
  </si>
  <si>
    <t>TXN-0045</t>
  </si>
  <si>
    <t>TXN-0046</t>
  </si>
  <si>
    <t>TXN-0047</t>
  </si>
  <si>
    <t>TXN-0048</t>
  </si>
  <si>
    <t>TXN-0049</t>
  </si>
  <si>
    <t>TXN-0050</t>
  </si>
  <si>
    <t>TXN-0051</t>
  </si>
  <si>
    <t>TXN-0052</t>
  </si>
  <si>
    <t>TXN-0053</t>
  </si>
  <si>
    <t>TXN-0054</t>
  </si>
  <si>
    <t>TXN-0055</t>
  </si>
  <si>
    <t>TXN-0056</t>
  </si>
  <si>
    <t>TXN-0057</t>
  </si>
  <si>
    <t>TXN-0058</t>
  </si>
  <si>
    <t>TXN-0059</t>
  </si>
  <si>
    <t>TXN-0060</t>
  </si>
  <si>
    <t>TXN-0061</t>
  </si>
  <si>
    <t>TXN-0062</t>
  </si>
  <si>
    <t>TXN-0063</t>
  </si>
  <si>
    <t>TXN-0064</t>
  </si>
  <si>
    <t>TXN-0065</t>
  </si>
  <si>
    <t>TXN-0066</t>
  </si>
  <si>
    <t>TXN-0067</t>
  </si>
  <si>
    <t>TXN-0068</t>
  </si>
  <si>
    <t>TXN-0069</t>
  </si>
  <si>
    <t>TXN-0070</t>
  </si>
  <si>
    <t>TXN-0071</t>
  </si>
  <si>
    <t>TXN-0072</t>
  </si>
  <si>
    <t>TXN-0073</t>
  </si>
  <si>
    <t>TXN-0074</t>
  </si>
  <si>
    <t>TXN-0075</t>
  </si>
  <si>
    <t>TXN-0076</t>
  </si>
  <si>
    <t>TXN-0077</t>
  </si>
  <si>
    <t>TXN-0078</t>
  </si>
  <si>
    <t>TXN-0079</t>
  </si>
  <si>
    <t>TXN-0080</t>
  </si>
  <si>
    <t>TXN-0081</t>
  </si>
  <si>
    <t>TXN-0082</t>
  </si>
  <si>
    <t>TXN-0083</t>
  </si>
  <si>
    <t>TXN-0084</t>
  </si>
  <si>
    <t>TXN-0085</t>
  </si>
  <si>
    <t>TXN-0086</t>
  </si>
  <si>
    <t>TXN-0087</t>
  </si>
  <si>
    <t>TXN-0088</t>
  </si>
  <si>
    <t>TXN-0089</t>
  </si>
  <si>
    <t>TXN-0090</t>
  </si>
  <si>
    <t>TXN-0091</t>
  </si>
  <si>
    <t>TXN-0092</t>
  </si>
  <si>
    <t>TXN-0093</t>
  </si>
  <si>
    <t>TXN-0094</t>
  </si>
  <si>
    <t>TXN-0095</t>
  </si>
  <si>
    <t>TXN-0096</t>
  </si>
  <si>
    <t>TXN-0097</t>
  </si>
  <si>
    <t>TXN-0098</t>
  </si>
  <si>
    <t>TXN-0099</t>
  </si>
  <si>
    <t>TXN-0100</t>
  </si>
  <si>
    <t>TXN-0101</t>
  </si>
  <si>
    <t>TXN-0102</t>
  </si>
  <si>
    <t>TXN-0103</t>
  </si>
  <si>
    <t>TXN-0104</t>
  </si>
  <si>
    <t>TXN-0105</t>
  </si>
  <si>
    <t>TXN-0106</t>
  </si>
  <si>
    <t>TXN-0107</t>
  </si>
  <si>
    <t>TXN-0108</t>
  </si>
  <si>
    <t>TXN-0109</t>
  </si>
  <si>
    <t>TXN-0110</t>
  </si>
  <si>
    <t>TXN-0111</t>
  </si>
  <si>
    <t>TXN-0112</t>
  </si>
  <si>
    <t>TXN-0113</t>
  </si>
  <si>
    <t>TXN-0114</t>
  </si>
  <si>
    <t>TXN-0115</t>
  </si>
  <si>
    <t>TXN-0116</t>
  </si>
  <si>
    <t>TXN-0117</t>
  </si>
  <si>
    <t>TXN-0118</t>
  </si>
  <si>
    <t>TXN-0119</t>
  </si>
  <si>
    <t>TXN-0120</t>
  </si>
  <si>
    <t>TXN-0121</t>
  </si>
  <si>
    <t>TXN-0122</t>
  </si>
  <si>
    <t>TXN-0123</t>
  </si>
  <si>
    <t>TXN-0124</t>
  </si>
  <si>
    <t>TXN-0125</t>
  </si>
  <si>
    <t>TXN-0126</t>
  </si>
  <si>
    <t>TXN-0127</t>
  </si>
  <si>
    <t>TXN-0128</t>
  </si>
  <si>
    <t>TXN-0129</t>
  </si>
  <si>
    <t>TXN-0130</t>
  </si>
  <si>
    <t>TXN-0131</t>
  </si>
  <si>
    <t>TXN-0132</t>
  </si>
  <si>
    <t>TXN-0133</t>
  </si>
  <si>
    <t>TXN-0134</t>
  </si>
  <si>
    <t>TXN-0135</t>
  </si>
  <si>
    <t>TXN-0136</t>
  </si>
  <si>
    <t>TXN-0137</t>
  </si>
  <si>
    <t>TXN-0138</t>
  </si>
  <si>
    <t>TXN-0139</t>
  </si>
  <si>
    <t>TXN-0140</t>
  </si>
  <si>
    <t>TXN-0141</t>
  </si>
  <si>
    <t>TXN-0142</t>
  </si>
  <si>
    <t>TXN-0143</t>
  </si>
  <si>
    <t>TXN-0144</t>
  </si>
  <si>
    <t>TXN-0145</t>
  </si>
  <si>
    <t>TXN-0146</t>
  </si>
  <si>
    <t>TXN-0147</t>
  </si>
  <si>
    <t>TXN-0148</t>
  </si>
  <si>
    <t>TXN-0149</t>
  </si>
  <si>
    <t>TXN-0150</t>
  </si>
  <si>
    <t>TXN-0151</t>
  </si>
  <si>
    <t>TXN-0152</t>
  </si>
  <si>
    <t>TXN-0153</t>
  </si>
  <si>
    <t>TXN-0154</t>
  </si>
  <si>
    <t>TXN-0155</t>
  </si>
  <si>
    <t>TXN-0156</t>
  </si>
  <si>
    <t>TXN-0157</t>
  </si>
  <si>
    <t>TXN-0158</t>
  </si>
  <si>
    <t>TXN-0159</t>
  </si>
  <si>
    <t>TXN-0160</t>
  </si>
  <si>
    <t>TXN-0161</t>
  </si>
  <si>
    <t>TXN-0162</t>
  </si>
  <si>
    <t>TXN-0163</t>
  </si>
  <si>
    <t>TXN-0164</t>
  </si>
  <si>
    <t>TXN-0165</t>
  </si>
  <si>
    <t>TXN-0166</t>
  </si>
  <si>
    <t>TXN-0167</t>
  </si>
  <si>
    <t>TXN-0168</t>
  </si>
  <si>
    <t>TXN-0169</t>
  </si>
  <si>
    <t>TXN-0170</t>
  </si>
  <si>
    <t>TXN-0171</t>
  </si>
  <si>
    <t>TXN-0172</t>
  </si>
  <si>
    <t>TXN-0173</t>
  </si>
  <si>
    <t>TXN-0174</t>
  </si>
  <si>
    <t>TXN-0175</t>
  </si>
  <si>
    <t>TXN-0176</t>
  </si>
  <si>
    <t>TXN-0177</t>
  </si>
  <si>
    <t>TXN-0178</t>
  </si>
  <si>
    <t>TXN-0179</t>
  </si>
  <si>
    <t>TXN-0180</t>
  </si>
  <si>
    <t>TXN-0181</t>
  </si>
  <si>
    <t>TXN-0182</t>
  </si>
  <si>
    <t>TXN-0183</t>
  </si>
  <si>
    <t>TXN-0184</t>
  </si>
  <si>
    <t>TXN-0185</t>
  </si>
  <si>
    <t>TXN-0186</t>
  </si>
  <si>
    <t>TXN-0187</t>
  </si>
  <si>
    <t>TXN-0188</t>
  </si>
  <si>
    <t>TXN-0189</t>
  </si>
  <si>
    <t>TXN-0190</t>
  </si>
  <si>
    <t>TXN-0191</t>
  </si>
  <si>
    <t>TXN-0192</t>
  </si>
  <si>
    <t>TXN-0193</t>
  </si>
  <si>
    <t>TXN-0194</t>
  </si>
  <si>
    <t>TXN-0195</t>
  </si>
  <si>
    <t>TXN-0196</t>
  </si>
  <si>
    <t>TXN-0197</t>
  </si>
  <si>
    <t>TXN-0198</t>
  </si>
  <si>
    <t>TXN-0199</t>
  </si>
  <si>
    <t>TXN-0200</t>
  </si>
  <si>
    <t>TXN-0201</t>
  </si>
  <si>
    <t>TXN-0202</t>
  </si>
  <si>
    <t>TXN-0203</t>
  </si>
  <si>
    <t>TXN-0204</t>
  </si>
  <si>
    <t>TXN-0205</t>
  </si>
  <si>
    <t>TXN-0206</t>
  </si>
  <si>
    <t>TXN-0207</t>
  </si>
  <si>
    <t>TXN-0208</t>
  </si>
  <si>
    <t>TXN-0209</t>
  </si>
  <si>
    <t>TXN-0210</t>
  </si>
  <si>
    <t>TXN-0211</t>
  </si>
  <si>
    <t>TXN-0212</t>
  </si>
  <si>
    <t>TXN-0213</t>
  </si>
  <si>
    <t>TXN-0214</t>
  </si>
  <si>
    <t>TXN-0215</t>
  </si>
  <si>
    <t>TXN-0216</t>
  </si>
  <si>
    <t>TXN-0217</t>
  </si>
  <si>
    <t>TXN-0218</t>
  </si>
  <si>
    <t>TXN-0219</t>
  </si>
  <si>
    <t>TXN-0220</t>
  </si>
  <si>
    <t>TXN-0221</t>
  </si>
  <si>
    <t>TXN-0222</t>
  </si>
  <si>
    <t>TXN-0223</t>
  </si>
  <si>
    <t>TXN-0224</t>
  </si>
  <si>
    <t>TXN-0225</t>
  </si>
  <si>
    <t>TXN-0226</t>
  </si>
  <si>
    <t>TXN-0227</t>
  </si>
  <si>
    <t>TXN-0228</t>
  </si>
  <si>
    <t>TXN-0229</t>
  </si>
  <si>
    <t>TXN-0230</t>
  </si>
  <si>
    <t>TXN-0231</t>
  </si>
  <si>
    <t>TXN-0232</t>
  </si>
  <si>
    <t>TXN-0233</t>
  </si>
  <si>
    <t>TXN-0234</t>
  </si>
  <si>
    <t>TXN-0235</t>
  </si>
  <si>
    <t>TXN-0236</t>
  </si>
  <si>
    <t>TXN-0237</t>
  </si>
  <si>
    <t>TXN-0238</t>
  </si>
  <si>
    <t>TXN-0239</t>
  </si>
  <si>
    <t>TXN-0240</t>
  </si>
  <si>
    <t>TXN-0241</t>
  </si>
  <si>
    <t>TXN-0242</t>
  </si>
  <si>
    <t>TXN-0243</t>
  </si>
  <si>
    <t>TXN-0244</t>
  </si>
  <si>
    <t>TXN-0245</t>
  </si>
  <si>
    <t>TXN-0246</t>
  </si>
  <si>
    <t>TXN-0247</t>
  </si>
  <si>
    <t>TXN-0248</t>
  </si>
  <si>
    <t>TXN-0249</t>
  </si>
  <si>
    <t>TXN-0250</t>
  </si>
  <si>
    <t>TXN-0251</t>
  </si>
  <si>
    <t>TXN-0252</t>
  </si>
  <si>
    <t>TXN-0253</t>
  </si>
  <si>
    <t>TXN-0254</t>
  </si>
  <si>
    <t>TXN-0255</t>
  </si>
  <si>
    <t>TXN-0256</t>
  </si>
  <si>
    <t>TXN-0257</t>
  </si>
  <si>
    <t>TXN-0258</t>
  </si>
  <si>
    <t>TXN-0259</t>
  </si>
  <si>
    <t>TXN-0260</t>
  </si>
  <si>
    <t>TXN-0261</t>
  </si>
  <si>
    <t>TXN-0262</t>
  </si>
  <si>
    <t>TXN-0263</t>
  </si>
  <si>
    <t>TXN-0264</t>
  </si>
  <si>
    <t>TXN-0265</t>
  </si>
  <si>
    <t>TXN-0266</t>
  </si>
  <si>
    <t>TXN-0267</t>
  </si>
  <si>
    <t>TXN-0268</t>
  </si>
  <si>
    <t>TXN-0269</t>
  </si>
  <si>
    <t>TXN-0270</t>
  </si>
  <si>
    <t>TXN-0271</t>
  </si>
  <si>
    <t>TXN-0272</t>
  </si>
  <si>
    <t>TXN-0273</t>
  </si>
  <si>
    <t>TXN-0274</t>
  </si>
  <si>
    <t>TXN-0275</t>
  </si>
  <si>
    <t>TXN-0276</t>
  </si>
  <si>
    <t>TXN-0277</t>
  </si>
  <si>
    <t>TXN-0278</t>
  </si>
  <si>
    <t>TXN-0279</t>
  </si>
  <si>
    <t>TXN-0280</t>
  </si>
  <si>
    <t>TXN-0281</t>
  </si>
  <si>
    <t>TXN-0282</t>
  </si>
  <si>
    <t>TXN-0283</t>
  </si>
  <si>
    <t>TXN-0284</t>
  </si>
  <si>
    <t>TXN-0285</t>
  </si>
  <si>
    <t>TXN-0286</t>
  </si>
  <si>
    <t>TXN-0287</t>
  </si>
  <si>
    <t>TXN-0288</t>
  </si>
  <si>
    <t>TXN-0289</t>
  </si>
  <si>
    <t>TXN-0290</t>
  </si>
  <si>
    <t>TXN-0291</t>
  </si>
  <si>
    <t>TXN-0292</t>
  </si>
  <si>
    <t>TXN-0293</t>
  </si>
  <si>
    <t>TXN-0294</t>
  </si>
  <si>
    <t>TXN-0295</t>
  </si>
  <si>
    <t>TXN-0296</t>
  </si>
  <si>
    <t>TXN-0297</t>
  </si>
  <si>
    <t>TXN-0298</t>
  </si>
  <si>
    <t>TXN-0299</t>
  </si>
  <si>
    <t>TXN-0300</t>
  </si>
  <si>
    <t>Budgeted_Revenue_EUR</t>
  </si>
  <si>
    <t>Budgeted_Variable_Cost_EUR</t>
  </si>
  <si>
    <t>Budgeted_Fixed_Cost_EUR</t>
  </si>
  <si>
    <t>Budgeted_Rental_Days</t>
  </si>
  <si>
    <t>Total</t>
  </si>
  <si>
    <t>ACTUAL REVENUE (EUR)</t>
  </si>
  <si>
    <t>ACTUAL TOTAL COST (EUR)</t>
  </si>
  <si>
    <t>CONTRIBUTION MARGIN (EUR)</t>
  </si>
  <si>
    <t>CONTRIBUTION MARGIN %</t>
  </si>
  <si>
    <t>ACTUAL RENTAL DAYS</t>
  </si>
  <si>
    <t>Actual_Revenue_EUR</t>
  </si>
  <si>
    <t>Revenue_Variance_EUR</t>
  </si>
  <si>
    <t>Revenue_Variance_Pct</t>
  </si>
  <si>
    <t>Actual_CM_EUR</t>
  </si>
  <si>
    <t>Budgeted_CM_EUR</t>
  </si>
  <si>
    <t>CM_Variance_EUR</t>
  </si>
  <si>
    <t>CM_Variance_Pct</t>
  </si>
  <si>
    <t>Actual_Rental_Days</t>
  </si>
  <si>
    <t>Days_Variance</t>
  </si>
  <si>
    <t>Flag</t>
  </si>
  <si>
    <t>Commentary</t>
  </si>
  <si>
    <t>Mercedes-Benz Automotive Mobility — Fleet Performance Dashboard Q1 2025</t>
  </si>
  <si>
    <t>Reporting Period: January — March 2025</t>
  </si>
  <si>
    <t>KPI</t>
  </si>
  <si>
    <t>Q1 Total</t>
  </si>
  <si>
    <t>Total Revenue (EUR)</t>
  </si>
  <si>
    <t>Total Contribution Margin (EUR)</t>
  </si>
  <si>
    <t>Contribution Margin %</t>
  </si>
  <si>
    <t>Total Rental Days</t>
  </si>
  <si>
    <t>Revenue per Rental Day (EUR)</t>
  </si>
  <si>
    <t>Revenue vs Budget (EUR)</t>
  </si>
  <si>
    <t>CM vs Budget (EUR)</t>
  </si>
  <si>
    <t>Transactions Flagged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</si>
</sst>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0.0%"/>
    <numFmt numFmtId="167" formatCode="\€#,##0.00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CDCEB"/>
        <bgColor indexed="64"/>
      </patternFill>
    </fill>
    <fill>
      <patternFill patternType="solid">
        <fgColor rgb="FFA6C9E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/>
    <xf numFmtId="166" fontId="0" fillId="0" borderId="0" xfId="1" applyNumberFormat="1" applyFont="1"/>
    <xf numFmtId="0" fontId="0" fillId="0" borderId="5" xfId="0" applyBorder="1"/>
    <xf numFmtId="166" fontId="0" fillId="0" borderId="0" xfId="1" applyNumberFormat="1" applyFont="1" applyBorder="1"/>
    <xf numFmtId="166" fontId="0" fillId="0" borderId="6" xfId="1" applyNumberFormat="1" applyFont="1" applyBorder="1"/>
    <xf numFmtId="0" fontId="0" fillId="0" borderId="7" xfId="0" applyBorder="1"/>
    <xf numFmtId="49" fontId="0" fillId="0" borderId="5" xfId="0" applyNumberFormat="1" applyBorder="1"/>
    <xf numFmtId="49" fontId="0" fillId="0" borderId="6" xfId="0" applyNumberFormat="1" applyBorder="1"/>
    <xf numFmtId="4" fontId="0" fillId="0" borderId="0" xfId="0" applyNumberFormat="1"/>
    <xf numFmtId="3" fontId="0" fillId="0" borderId="0" xfId="0" applyNumberFormat="1"/>
    <xf numFmtId="0" fontId="3" fillId="4" borderId="0" xfId="0" applyFont="1" applyFill="1"/>
    <xf numFmtId="166" fontId="3" fillId="4" borderId="0" xfId="1" applyNumberFormat="1" applyFont="1" applyFill="1"/>
    <xf numFmtId="3" fontId="3" fillId="4" borderId="0" xfId="0" applyNumberFormat="1" applyFont="1" applyFill="1"/>
    <xf numFmtId="3" fontId="0" fillId="0" borderId="6" xfId="0" applyNumberFormat="1" applyBorder="1"/>
    <xf numFmtId="3" fontId="0" fillId="0" borderId="1" xfId="0" applyNumberFormat="1" applyBorder="1"/>
    <xf numFmtId="3" fontId="0" fillId="0" borderId="8" xfId="0" applyNumberFormat="1" applyBorder="1"/>
    <xf numFmtId="0" fontId="6" fillId="5" borderId="0" xfId="0" applyFont="1" applyFill="1"/>
    <xf numFmtId="167" fontId="0" fillId="0" borderId="0" xfId="0" applyNumberFormat="1"/>
    <xf numFmtId="167" fontId="0" fillId="0" borderId="6" xfId="0" applyNumberFormat="1" applyBorder="1"/>
    <xf numFmtId="167" fontId="0" fillId="0" borderId="1" xfId="0" applyNumberFormat="1" applyBorder="1"/>
    <xf numFmtId="167" fontId="0" fillId="0" borderId="8" xfId="0" applyNumberFormat="1" applyBorder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167" fontId="3" fillId="4" borderId="0" xfId="0" applyNumberFormat="1" applyFont="1" applyFill="1"/>
    <xf numFmtId="49" fontId="6" fillId="5" borderId="0" xfId="0" applyNumberFormat="1" applyFont="1" applyFill="1"/>
    <xf numFmtId="166" fontId="6" fillId="5" borderId="0" xfId="1" applyNumberFormat="1" applyFont="1" applyFill="1"/>
    <xf numFmtId="49" fontId="4" fillId="3" borderId="2" xfId="0" applyNumberFormat="1" applyFont="1" applyFill="1" applyBorder="1" applyAlignment="1">
      <alignment horizontal="center" vertical="center"/>
    </xf>
    <xf numFmtId="49" fontId="4" fillId="3" borderId="3" xfId="0" applyNumberFormat="1" applyFont="1" applyFill="1" applyBorder="1" applyAlignment="1">
      <alignment horizontal="center"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5" fillId="2" borderId="7" xfId="0" applyNumberFormat="1" applyFont="1" applyFill="1" applyBorder="1" applyAlignment="1">
      <alignment horizontal="center"/>
    </xf>
    <xf numFmtId="49" fontId="5" fillId="2" borderId="1" xfId="0" applyNumberFormat="1" applyFont="1" applyFill="1" applyBorder="1" applyAlignment="1">
      <alignment horizontal="center"/>
    </xf>
    <xf numFmtId="49" fontId="5" fillId="2" borderId="8" xfId="0" applyNumberFormat="1" applyFont="1" applyFill="1" applyBorder="1" applyAlignment="1">
      <alignment horizontal="center"/>
    </xf>
    <xf numFmtId="0" fontId="0" fillId="0" borderId="0" xfId="0" applyBorder="1"/>
    <xf numFmtId="167" fontId="0" fillId="0" borderId="0" xfId="0" applyNumberFormat="1" applyBorder="1"/>
    <xf numFmtId="49" fontId="0" fillId="0" borderId="0" xfId="0" applyNumberFormat="1" applyFill="1"/>
    <xf numFmtId="165" fontId="0" fillId="0" borderId="0" xfId="0" applyNumberFormat="1" applyFill="1"/>
    <xf numFmtId="164" fontId="0" fillId="0" borderId="0" xfId="0" applyNumberFormat="1" applyFill="1"/>
  </cellXfs>
  <cellStyles count="2">
    <cellStyle name="Normal" xfId="0" builtinId="0"/>
    <cellStyle name="Per cent" xfId="1" builtinId="5"/>
  </cellStyles>
  <dxfs count="30">
    <dxf>
      <numFmt numFmtId="3" formatCode="#,##0"/>
    </dxf>
    <dxf>
      <numFmt numFmtId="0" formatCode="General"/>
    </dxf>
    <dxf>
      <numFmt numFmtId="3" formatCode="#,##0"/>
    </dxf>
    <dxf>
      <numFmt numFmtId="3" formatCode="#,##0"/>
    </dxf>
    <dxf>
      <numFmt numFmtId="166" formatCode="0.0%"/>
    </dxf>
    <dxf>
      <numFmt numFmtId="4" formatCode="#,##0.00"/>
    </dxf>
    <dxf>
      <numFmt numFmtId="4" formatCode="#,##0.00"/>
    </dxf>
    <dxf>
      <numFmt numFmtId="4" formatCode="#,##0.00"/>
    </dxf>
    <dxf>
      <numFmt numFmtId="166" formatCode="0.0%"/>
    </dxf>
    <dxf>
      <numFmt numFmtId="4" formatCode="#,##0.00"/>
    </dxf>
    <dxf>
      <numFmt numFmtId="4" formatCode="#,##0.00"/>
    </dxf>
    <dxf>
      <numFmt numFmtId="4" formatCode="#,##0.00"/>
    </dxf>
    <dxf>
      <numFmt numFmtId="30" formatCode="@"/>
    </dxf>
    <dxf>
      <font>
        <b/>
        <color rgb="FF000000"/>
      </font>
      <fill>
        <patternFill patternType="solid">
          <fgColor indexed="64"/>
          <bgColor rgb="FFA6C9EC"/>
        </patternFill>
      </fill>
    </dxf>
    <dxf>
      <numFmt numFmtId="30" formatCode="@"/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numFmt numFmtId="30" formatCode="@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5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462915</xdr:colOff>
      <xdr:row>18</xdr:row>
      <xdr:rowOff>72390</xdr:rowOff>
    </xdr:from>
    <xdr:to>
      <xdr:col>2</xdr:col>
      <xdr:colOff>1476375</xdr:colOff>
      <xdr:row>21</xdr:row>
      <xdr:rowOff>26670</xdr:rowOff>
    </xdr:to>
    <xdr:sp macro="[0]!Run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F43F4C-9D21-35B8-344F-D8B520110CC5}"/>
            </a:ext>
          </a:extLst>
        </xdr:cNvPr>
        <xdr:cNvSpPr/>
      </xdr:nvSpPr>
      <xdr:spPr>
        <a:xfrm>
          <a:off x="2710815" y="3415665"/>
          <a:ext cx="2575560" cy="497205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tx1"/>
              </a:solidFill>
            </a:rPr>
            <a:t>Run Full Report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FB2910-B341-4D64-B45B-6E9127D097E3}" name="tbl_RawData" displayName="tbl_RawData" ref="A1:K301" totalsRowShown="0" headerRowDxfId="29">
  <autoFilter ref="A1:K301" xr:uid="{54FB2910-B341-4D64-B45B-6E9127D097E3}"/>
  <tableColumns count="11">
    <tableColumn id="1" xr3:uid="{1A133ADF-46A2-4523-B948-64C7F5512625}" name="Transaction_ID" dataDxfId="28"/>
    <tableColumn id="2" xr3:uid="{68E57A3E-6420-4B53-9828-7BCEFE47DB2F}" name="Period" dataDxfId="27"/>
    <tableColumn id="3" xr3:uid="{46A3E960-837F-4CFE-A99A-0B306E9FAA3C}" name="Month" dataDxfId="26"/>
    <tableColumn id="4" xr3:uid="{66FA8F28-8121-4832-813E-C7C4EB4F8B22}" name="Vehicle_Class" dataDxfId="25"/>
    <tableColumn id="5" xr3:uid="{17E9ADD6-C54B-4B0B-BA6B-C248CE08D6AB}" name="Vehicle_Type" dataDxfId="24"/>
    <tableColumn id="6" xr3:uid="{D2E60943-1854-42EA-9122-8AB3F671CB68}" name="Rental_Days" dataDxfId="23"/>
    <tableColumn id="7" xr3:uid="{7858895F-617A-4F25-9920-1AEBE0815C97}" name="Revenue_EUR" dataDxfId="22"/>
    <tableColumn id="8" xr3:uid="{041BFB1D-2C33-4AB5-A181-2AE04E28C633}" name="Variable_Cost_EUR" dataDxfId="21"/>
    <tableColumn id="9" xr3:uid="{38AC7C49-E9D8-4D54-AD0E-A2705ECFC382}" name="Fixed_Cost_Allocation_EUR" dataDxfId="20"/>
    <tableColumn id="10" xr3:uid="{9C2AC313-E18C-44E8-9E5B-E4D2EADB3F87}" name="Depreciation_EUR" dataDxfId="19"/>
    <tableColumn id="11" xr3:uid="{4C4ABAD4-CB64-4C27-8377-C2525D9F8CE4}" name="Branch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3C76FC-C92A-408C-BA47-0BBD2EEA2EBD}" name="tbl_Budget" displayName="tbl_Budget" ref="A1:F19" totalsRowShown="0">
  <autoFilter ref="A1:F19" xr:uid="{AA3C76FC-C92A-408C-BA47-0BBD2EEA2EBD}"/>
  <tableColumns count="6">
    <tableColumn id="1" xr3:uid="{0D80558B-781A-4C45-A13E-6246C7D3A4A2}" name="Vehicle_Class"/>
    <tableColumn id="2" xr3:uid="{677ECD5A-4C6D-4D83-98D8-449E9CA2AB8B}" name="Month"/>
    <tableColumn id="3" xr3:uid="{FE0483BE-6A17-48D0-8C6F-C52E9D6E3267}" name="Budgeted_Revenue_EUR"/>
    <tableColumn id="4" xr3:uid="{543244DE-FF4F-4C9F-BC73-4DF969B47224}" name="Budgeted_Variable_Cost_EUR"/>
    <tableColumn id="5" xr3:uid="{AB660F19-4F39-4011-A580-8A6A914ADD25}" name="Budgeted_Fixed_Cost_EUR"/>
    <tableColumn id="6" xr3:uid="{B8CDE766-6FBF-4465-AAA9-BBE4535101E3}" name="Budgeted_Rental_Day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507415-29CA-4229-99BA-B34E256E8738}" name="tbl_Variance" displayName="tbl_Variance" ref="A1:O19" totalsRowShown="0" headerRowDxfId="13">
  <autoFilter ref="A1:O19" xr:uid="{23507415-29CA-4229-99BA-B34E256E8738}"/>
  <tableColumns count="15">
    <tableColumn id="1" xr3:uid="{ACF9A4F1-5117-41F5-A130-B594EE286055}" name="Vehicle_Class" dataDxfId="14"/>
    <tableColumn id="2" xr3:uid="{F2C15504-6A09-4676-9CF4-FE6B11C82319}" name="Month" dataDxfId="12"/>
    <tableColumn id="3" xr3:uid="{75C605E9-02A3-4005-AFCF-57FE5F61BD22}" name="Actual_Revenue_EUR" dataDxfId="11">
      <calculatedColumnFormula>SUMIFS(tbl_RawData[Revenue_EUR],tbl_RawData[Vehicle_Class],$A2,tbl_RawData[Month],$B2)</calculatedColumnFormula>
    </tableColumn>
    <tableColumn id="4" xr3:uid="{58EDAC0D-7174-4807-9181-2DAE5CAA35CC}" name="Budgeted_Revenue_EUR" dataDxfId="10">
      <calculatedColumnFormula>SUMIFS(tbl_Budget[Budgeted_Revenue_EUR],tbl_Budget[Vehicle_Class],$A2,tbl_Budget[Month],$B2)</calculatedColumnFormula>
    </tableColumn>
    <tableColumn id="5" xr3:uid="{E835E20C-3730-49CC-90CE-00F23EA76273}" name="Revenue_Variance_EUR" dataDxfId="9">
      <calculatedColumnFormula>C2-D2</calculatedColumnFormula>
    </tableColumn>
    <tableColumn id="6" xr3:uid="{10529773-C60E-4649-B413-F29B9D153F57}" name="Revenue_Variance_Pct" dataDxfId="8" dataCellStyle="Per cent">
      <calculatedColumnFormula>IFERROR(E2/D2,0)</calculatedColumnFormula>
    </tableColumn>
    <tableColumn id="7" xr3:uid="{83869598-B2BD-41BF-AE54-A03AA4D7463D}" name="Actual_CM_EUR" dataDxfId="7">
      <calculatedColumnFormula>SUMIFS(tbl_RawData[Revenue_EUR],tbl_RawData[Vehicle_Class],$A2,tbl_RawData[Month],$B2)-SUMIFS(tbl_RawData[Variable_Cost_EUR],tbl_RawData[Vehicle_Class],$A2,tbl_RawData[Month],$B2)-SUMIFS(tbl_RawData[Fixed_Cost_Allocation_EUR],tbl_RawData[Vehicle_Class],$A2,tbl_RawData[Month],$B2)-SUMIFS(tbl_RawData[Depreciation_EUR],tbl_RawData[Vehicle_Class],$A2,tbl_RawData[Month],$B2)</calculatedColumnFormula>
    </tableColumn>
    <tableColumn id="8" xr3:uid="{02878C20-F185-4278-8BC9-E7DCADC26ACC}" name="Budgeted_CM_EUR" dataDxfId="6">
      <calculatedColumnFormula>SUMIFS(tbl_Budget[Budgeted_Revenue_EUR],tbl_Budget[Vehicle_Class],$A2,tbl_Budget[Month],$B2)-SUMIFS(tbl_Budget[Budgeted_Variable_Cost_EUR],tbl_Budget[Vehicle_Class],$A2,tbl_Budget[Month],$B2)-SUMIFS(tbl_Budget[Budgeted_Fixed_Cost_EUR],tbl_Budget[Vehicle_Class],$A2,tbl_Budget[Month],$B2)</calculatedColumnFormula>
    </tableColumn>
    <tableColumn id="9" xr3:uid="{D4773EC3-95F9-45F2-8F97-142D730EE858}" name="CM_Variance_EUR" dataDxfId="5">
      <calculatedColumnFormula>G2-H2</calculatedColumnFormula>
    </tableColumn>
    <tableColumn id="10" xr3:uid="{7E33FF9C-1956-4345-BBFB-BF8DDCDDE06F}" name="CM_Variance_Pct" dataDxfId="4" dataCellStyle="Per cent">
      <calculatedColumnFormula>IFERROR(I2/H2,0)</calculatedColumnFormula>
    </tableColumn>
    <tableColumn id="11" xr3:uid="{12EBAF4D-B803-47B8-85C8-054A5A76A5C8}" name="Actual_Rental_Days" dataDxfId="3">
      <calculatedColumnFormula>SUMIFS(tbl_RawData[Rental_Days],tbl_RawData[Vehicle_Class],$A2,tbl_RawData[Month],$B2)</calculatedColumnFormula>
    </tableColumn>
    <tableColumn id="12" xr3:uid="{6C4780DE-7A72-4A33-8AE3-F88C78489516}" name="Budgeted_Rental_Days" dataDxfId="2">
      <calculatedColumnFormula>SUMIFS(tbl_Budget[Budgeted_Rental_Days],tbl_Budget[Vehicle_Class],$A2,tbl_Budget[Month],$B2)</calculatedColumnFormula>
    </tableColumn>
    <tableColumn id="13" xr3:uid="{CF626642-63C6-4C2C-8FED-AB669821D31E}" name="Days_Variance" dataDxfId="0">
      <calculatedColumnFormula>K2-L2</calculatedColumnFormula>
    </tableColumn>
    <tableColumn id="14" xr3:uid="{7C5019FB-4E65-443A-BD19-15CA925F9B55}" name="Flag" dataDxfId="1">
      <calculatedColumnFormula>IF(F2&lt;-0.05,"REVIEW",IF(F2&lt;0,"WATCH","OK"))</calculatedColumnFormula>
    </tableColumn>
    <tableColumn id="15" xr3:uid="{91B89759-DA50-497C-90C3-B6522EB683F4}" name="Comment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AEF12-0956-4C96-839E-75A8B34EBD7D}">
  <sheetPr codeName="Sheet5">
    <pageSetUpPr fitToPage="1"/>
  </sheetPr>
  <dimension ref="A1:F15"/>
  <sheetViews>
    <sheetView showGridLines="0" tabSelected="1" workbookViewId="0">
      <selection sqref="A1:E1"/>
    </sheetView>
  </sheetViews>
  <sheetFormatPr defaultRowHeight="14.4" x14ac:dyDescent="0.3"/>
  <cols>
    <col min="1" max="1" width="32.77734375" customWidth="1"/>
    <col min="2" max="5" width="22.77734375" customWidth="1"/>
  </cols>
  <sheetData>
    <row r="1" spans="1:6" ht="21" x14ac:dyDescent="0.3">
      <c r="A1" s="32" t="s">
        <v>349</v>
      </c>
      <c r="B1" s="33"/>
      <c r="C1" s="33"/>
      <c r="D1" s="33"/>
      <c r="E1" s="34"/>
      <c r="F1" s="5"/>
    </row>
    <row r="2" spans="1:6" x14ac:dyDescent="0.3">
      <c r="A2" s="35" t="s">
        <v>350</v>
      </c>
      <c r="B2" s="36"/>
      <c r="C2" s="36"/>
      <c r="D2" s="36"/>
      <c r="E2" s="37"/>
      <c r="F2" s="5"/>
    </row>
    <row r="3" spans="1:6" x14ac:dyDescent="0.3">
      <c r="A3" s="11"/>
      <c r="B3" s="2"/>
      <c r="C3" s="2"/>
      <c r="D3" s="2"/>
      <c r="E3" s="12"/>
      <c r="F3" s="5"/>
    </row>
    <row r="4" spans="1:6" x14ac:dyDescent="0.3">
      <c r="A4" s="26" t="s">
        <v>351</v>
      </c>
      <c r="B4" s="27" t="s">
        <v>13</v>
      </c>
      <c r="C4" s="27" t="s">
        <v>34</v>
      </c>
      <c r="D4" s="27" t="s">
        <v>26</v>
      </c>
      <c r="E4" s="28" t="s">
        <v>352</v>
      </c>
      <c r="F4" s="5"/>
    </row>
    <row r="5" spans="1:6" x14ac:dyDescent="0.3">
      <c r="A5" s="7" t="s">
        <v>353</v>
      </c>
      <c r="B5" s="22">
        <f>SUMMARY!B8</f>
        <v>87233.01</v>
      </c>
      <c r="C5" s="22">
        <f>SUMMARY!C8</f>
        <v>94614.47</v>
      </c>
      <c r="D5" s="22">
        <f>SUMMARY!D8</f>
        <v>90107.510000000009</v>
      </c>
      <c r="E5" s="23">
        <f>SUMMARY!E8</f>
        <v>271954.99</v>
      </c>
      <c r="F5" s="5"/>
    </row>
    <row r="6" spans="1:6" x14ac:dyDescent="0.3">
      <c r="A6" s="7" t="s">
        <v>354</v>
      </c>
      <c r="B6" s="22">
        <f>SUMMARY!B26</f>
        <v>47572.28</v>
      </c>
      <c r="C6" s="22">
        <f>SUMMARY!C26</f>
        <v>51075.950000000012</v>
      </c>
      <c r="D6" s="22">
        <f>SUMMARY!D26</f>
        <v>49813.680000000008</v>
      </c>
      <c r="E6" s="23">
        <f>SUMMARY!E26</f>
        <v>148461.91000000003</v>
      </c>
      <c r="F6" s="5"/>
    </row>
    <row r="7" spans="1:6" x14ac:dyDescent="0.3">
      <c r="A7" s="7" t="s">
        <v>355</v>
      </c>
      <c r="B7" s="8">
        <f>IFERROR(B6/B5,0)</f>
        <v>0.54534722578069927</v>
      </c>
      <c r="C7" s="8">
        <f>IFERROR(C6/C5,0)</f>
        <v>0.53983233220034965</v>
      </c>
      <c r="D7" s="8">
        <f>IFERROR(D6/D5,0)</f>
        <v>0.55282495321422154</v>
      </c>
      <c r="E7" s="9">
        <f>IFERROR(E6/E5,0)</f>
        <v>0.54590618101914601</v>
      </c>
      <c r="F7" s="5"/>
    </row>
    <row r="8" spans="1:6" x14ac:dyDescent="0.3">
      <c r="A8" s="7" t="s">
        <v>356</v>
      </c>
      <c r="B8" s="14">
        <f>SUMMARY!B44</f>
        <v>749</v>
      </c>
      <c r="C8" s="14">
        <f>SUMMARY!C44</f>
        <v>806</v>
      </c>
      <c r="D8" s="14">
        <f>SUMMARY!D44</f>
        <v>762</v>
      </c>
      <c r="E8" s="18">
        <f>SUMMARY!E44</f>
        <v>2317</v>
      </c>
      <c r="F8" s="5"/>
    </row>
    <row r="9" spans="1:6" x14ac:dyDescent="0.3">
      <c r="A9" s="10" t="s">
        <v>357</v>
      </c>
      <c r="B9" s="24">
        <f>IFERROR(B5/B8,0)</f>
        <v>116.46596795727636</v>
      </c>
      <c r="C9" s="24">
        <f>IFERROR(C5/C8,0)</f>
        <v>117.38767990074442</v>
      </c>
      <c r="D9" s="24">
        <f>IFERROR(D5/D8,0)</f>
        <v>118.2513254593176</v>
      </c>
      <c r="E9" s="25">
        <f>IFERROR(E5/E8,0)</f>
        <v>117.37375485541648</v>
      </c>
      <c r="F9" s="5"/>
    </row>
    <row r="10" spans="1:6" x14ac:dyDescent="0.3">
      <c r="A10" s="11"/>
      <c r="B10" s="2"/>
      <c r="C10" s="2"/>
      <c r="D10" s="2"/>
      <c r="E10" s="12"/>
      <c r="F10" s="5"/>
    </row>
    <row r="11" spans="1:6" x14ac:dyDescent="0.3">
      <c r="A11" s="26" t="s">
        <v>351</v>
      </c>
      <c r="B11" s="27" t="s">
        <v>13</v>
      </c>
      <c r="C11" s="27" t="s">
        <v>34</v>
      </c>
      <c r="D11" s="27" t="s">
        <v>26</v>
      </c>
      <c r="E11" s="28" t="s">
        <v>352</v>
      </c>
      <c r="F11" s="5"/>
    </row>
    <row r="12" spans="1:6" x14ac:dyDescent="0.3">
      <c r="A12" s="7" t="s">
        <v>358</v>
      </c>
      <c r="B12" s="39">
        <f>SUMIF(tbl_Variance[Month],"January",tbl_Variance[Revenue_Variance_EUR])</f>
        <v>-9766.989999999998</v>
      </c>
      <c r="C12" s="39">
        <f>SUMIF(tbl_Variance[Month],"February",tbl_Variance[Revenue_Variance_EUR])</f>
        <v>914.47000000001026</v>
      </c>
      <c r="D12" s="39">
        <f>SUMIF(tbl_Variance[Month],"March",tbl_Variance[Revenue_Variance_EUR])</f>
        <v>-12892.489999999998</v>
      </c>
      <c r="E12" s="23">
        <f>SUM(B12:D12)</f>
        <v>-21745.009999999987</v>
      </c>
      <c r="F12" s="5"/>
    </row>
    <row r="13" spans="1:6" x14ac:dyDescent="0.3">
      <c r="A13" s="7" t="s">
        <v>359</v>
      </c>
      <c r="B13" s="39">
        <f>SUMIF(tbl_Variance[Month],"January",tbl_Variance[CM_Variance_EUR])</f>
        <v>-11927.719999999996</v>
      </c>
      <c r="C13" s="39">
        <f>SUMIF(tbl_Variance[Month],"February",tbl_Variance[CM_Variance_EUR])</f>
        <v>-6424.0499999999911</v>
      </c>
      <c r="D13" s="39">
        <f>SUMIF(tbl_Variance[Month],"March",tbl_Variance[CM_Variance_EUR])</f>
        <v>-13886.319999999996</v>
      </c>
      <c r="E13" s="23">
        <f>SUM(B13:D13)</f>
        <v>-32238.089999999982</v>
      </c>
    </row>
    <row r="14" spans="1:6" x14ac:dyDescent="0.3">
      <c r="A14" s="10" t="s">
        <v>360</v>
      </c>
      <c r="B14" s="19">
        <f>COUNTIFS(tbl_Variance[Month],"January",tbl_Variance[Flag],"REVIEW")</f>
        <v>4</v>
      </c>
      <c r="C14" s="19">
        <f>COUNTIFS(tbl_Variance[Month],"February",tbl_Variance[Flag],"REVIEW")</f>
        <v>2</v>
      </c>
      <c r="D14" s="19">
        <f>COUNTIFS(tbl_Variance[Month],"March",tbl_Variance[Flag],"REVIEW")</f>
        <v>5</v>
      </c>
      <c r="E14" s="20">
        <f>SUM(B14:D14)</f>
        <v>11</v>
      </c>
    </row>
    <row r="15" spans="1:6" x14ac:dyDescent="0.3">
      <c r="A15" s="38"/>
      <c r="B15" s="38"/>
      <c r="C15" s="38"/>
      <c r="D15" s="38"/>
      <c r="E15" s="38"/>
    </row>
  </sheetData>
  <mergeCells count="2">
    <mergeCell ref="A1:E1"/>
    <mergeCell ref="A2:E2"/>
  </mergeCells>
  <dataValidations count="3">
    <dataValidation type="list" allowBlank="1" showInputMessage="1" showErrorMessage="1" sqref="C3 C10" xr:uid="{7C72B537-0C62-429B-9888-4024A7B4C5A6}">
      <formula1>"January,February,March"</formula1>
    </dataValidation>
    <dataValidation type="list" allowBlank="1" showInputMessage="1" showErrorMessage="1" sqref="E3 E10" xr:uid="{2B1F771C-DF16-45C7-B878-EE0064BA7125}">
      <formula1>"Combustion,Electric"</formula1>
    </dataValidation>
    <dataValidation type="list" allowBlank="1" showInputMessage="1" showErrorMessage="1" sqref="D3 D10" xr:uid="{94040477-94A4-42B5-B332-D15D172ECA11}">
      <formula1>"A-Class,C-Class,E-Class,EQS,GLE,Sprinter"</formula1>
    </dataValidation>
  </dataValidations>
  <pageMargins left="0.5" right="0.5" top="0.5" bottom="0.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FBA74-F700-4948-B9FE-D4651880279A}">
  <sheetPr codeName="Sheet1"/>
  <dimension ref="A1:K301"/>
  <sheetViews>
    <sheetView workbookViewId="0"/>
  </sheetViews>
  <sheetFormatPr defaultRowHeight="14.4" x14ac:dyDescent="0.3"/>
  <cols>
    <col min="1" max="1" width="18.44140625" bestFit="1" customWidth="1"/>
    <col min="2" max="2" width="11.109375" bestFit="1" customWidth="1"/>
    <col min="3" max="3" width="11" bestFit="1" customWidth="1"/>
    <col min="4" max="4" width="17.77734375" bestFit="1" customWidth="1"/>
    <col min="5" max="5" width="16.88671875" bestFit="1" customWidth="1"/>
    <col min="6" max="6" width="16.21875" bestFit="1" customWidth="1"/>
    <col min="7" max="7" width="19.5546875" customWidth="1"/>
    <col min="8" max="8" width="23.77734375" customWidth="1"/>
    <col min="9" max="9" width="24.109375" customWidth="1"/>
    <col min="10" max="10" width="21.5546875" bestFit="1" customWidth="1"/>
    <col min="11" max="11" width="16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1" t="s">
        <v>10</v>
      </c>
    </row>
    <row r="2" spans="1:11" x14ac:dyDescent="0.3">
      <c r="A2" s="40" t="s">
        <v>11</v>
      </c>
      <c r="B2" s="40" t="s">
        <v>33</v>
      </c>
      <c r="C2" s="40" t="s">
        <v>34</v>
      </c>
      <c r="D2" s="40" t="s">
        <v>18</v>
      </c>
      <c r="E2" s="40" t="s">
        <v>19</v>
      </c>
      <c r="F2" s="41">
        <v>13</v>
      </c>
      <c r="G2" s="42">
        <v>1829.42</v>
      </c>
      <c r="H2" s="42">
        <v>380.33</v>
      </c>
      <c r="I2" s="42">
        <v>234.23</v>
      </c>
      <c r="J2" s="42">
        <v>200.5</v>
      </c>
      <c r="K2" s="40" t="s">
        <v>23</v>
      </c>
    </row>
    <row r="3" spans="1:11" x14ac:dyDescent="0.3">
      <c r="A3" s="40" t="s">
        <v>17</v>
      </c>
      <c r="B3" s="40" t="s">
        <v>33</v>
      </c>
      <c r="C3" s="40" t="s">
        <v>34</v>
      </c>
      <c r="D3" s="40" t="s">
        <v>14</v>
      </c>
      <c r="E3" s="40" t="s">
        <v>15</v>
      </c>
      <c r="F3" s="41">
        <v>11</v>
      </c>
      <c r="G3" s="42">
        <v>1626.52</v>
      </c>
      <c r="H3" s="42">
        <v>343.98</v>
      </c>
      <c r="I3" s="42">
        <v>234.15</v>
      </c>
      <c r="J3" s="42">
        <v>280.49</v>
      </c>
      <c r="K3" s="40" t="s">
        <v>23</v>
      </c>
    </row>
    <row r="4" spans="1:11" x14ac:dyDescent="0.3">
      <c r="A4" s="40" t="s">
        <v>21</v>
      </c>
      <c r="B4" s="40" t="s">
        <v>25</v>
      </c>
      <c r="C4" s="40" t="s">
        <v>26</v>
      </c>
      <c r="D4" s="40" t="s">
        <v>30</v>
      </c>
      <c r="E4" s="40" t="s">
        <v>19</v>
      </c>
      <c r="F4" s="41">
        <v>7</v>
      </c>
      <c r="G4" s="42">
        <v>508.35</v>
      </c>
      <c r="H4" s="42">
        <v>106.04</v>
      </c>
      <c r="I4" s="42">
        <v>64.459999999999994</v>
      </c>
      <c r="J4" s="42">
        <v>45.95</v>
      </c>
      <c r="K4" s="40" t="s">
        <v>16</v>
      </c>
    </row>
    <row r="5" spans="1:11" x14ac:dyDescent="0.3">
      <c r="A5" s="40" t="s">
        <v>24</v>
      </c>
      <c r="B5" s="40" t="s">
        <v>12</v>
      </c>
      <c r="C5" s="40" t="s">
        <v>13</v>
      </c>
      <c r="D5" s="40" t="s">
        <v>22</v>
      </c>
      <c r="E5" s="40" t="s">
        <v>19</v>
      </c>
      <c r="F5" s="41">
        <v>9</v>
      </c>
      <c r="G5" s="42">
        <v>1007.44</v>
      </c>
      <c r="H5" s="42">
        <v>173.93</v>
      </c>
      <c r="I5" s="42">
        <v>147.37</v>
      </c>
      <c r="J5" s="42">
        <v>126</v>
      </c>
      <c r="K5" s="40" t="s">
        <v>20</v>
      </c>
    </row>
    <row r="6" spans="1:11" x14ac:dyDescent="0.3">
      <c r="A6" s="40" t="s">
        <v>27</v>
      </c>
      <c r="B6" s="40" t="s">
        <v>25</v>
      </c>
      <c r="C6" s="40" t="s">
        <v>26</v>
      </c>
      <c r="D6" s="40" t="s">
        <v>14</v>
      </c>
      <c r="E6" s="40" t="s">
        <v>15</v>
      </c>
      <c r="F6" s="41">
        <v>1</v>
      </c>
      <c r="G6" s="42">
        <v>172.34</v>
      </c>
      <c r="H6" s="42">
        <v>30.41</v>
      </c>
      <c r="I6" s="42">
        <v>18.34</v>
      </c>
      <c r="J6" s="42">
        <v>27.23</v>
      </c>
      <c r="K6" s="40" t="s">
        <v>23</v>
      </c>
    </row>
    <row r="7" spans="1:11" x14ac:dyDescent="0.3">
      <c r="A7" s="40" t="s">
        <v>29</v>
      </c>
      <c r="B7" s="40" t="s">
        <v>33</v>
      </c>
      <c r="C7" s="40" t="s">
        <v>34</v>
      </c>
      <c r="D7" s="40" t="s">
        <v>18</v>
      </c>
      <c r="E7" s="40" t="s">
        <v>19</v>
      </c>
      <c r="F7" s="41">
        <v>9</v>
      </c>
      <c r="G7" s="42">
        <v>1457.5</v>
      </c>
      <c r="H7" s="42">
        <v>262.26</v>
      </c>
      <c r="I7" s="42">
        <v>211.26</v>
      </c>
      <c r="J7" s="42">
        <v>135.37</v>
      </c>
      <c r="K7" s="40" t="s">
        <v>16</v>
      </c>
    </row>
    <row r="8" spans="1:11" x14ac:dyDescent="0.3">
      <c r="A8" s="40" t="s">
        <v>31</v>
      </c>
      <c r="B8" s="40" t="s">
        <v>33</v>
      </c>
      <c r="C8" s="40" t="s">
        <v>34</v>
      </c>
      <c r="D8" s="40" t="s">
        <v>14</v>
      </c>
      <c r="E8" s="40" t="s">
        <v>15</v>
      </c>
      <c r="F8" s="41">
        <v>9</v>
      </c>
      <c r="G8" s="42">
        <v>1273.95</v>
      </c>
      <c r="H8" s="42">
        <v>226.03</v>
      </c>
      <c r="I8" s="42">
        <v>170.79</v>
      </c>
      <c r="J8" s="42">
        <v>182.74</v>
      </c>
      <c r="K8" s="40" t="s">
        <v>23</v>
      </c>
    </row>
    <row r="9" spans="1:11" x14ac:dyDescent="0.3">
      <c r="A9" s="40" t="s">
        <v>32</v>
      </c>
      <c r="B9" s="40" t="s">
        <v>25</v>
      </c>
      <c r="C9" s="40" t="s">
        <v>26</v>
      </c>
      <c r="D9" s="40" t="s">
        <v>35</v>
      </c>
      <c r="E9" s="40" t="s">
        <v>19</v>
      </c>
      <c r="F9" s="41">
        <v>5</v>
      </c>
      <c r="G9" s="42">
        <v>400.4</v>
      </c>
      <c r="H9" s="42">
        <v>80.06</v>
      </c>
      <c r="I9" s="42">
        <v>64.52</v>
      </c>
      <c r="J9" s="42">
        <v>49.89</v>
      </c>
      <c r="K9" s="40" t="s">
        <v>20</v>
      </c>
    </row>
    <row r="10" spans="1:11" x14ac:dyDescent="0.3">
      <c r="A10" s="40" t="s">
        <v>36</v>
      </c>
      <c r="B10" s="40" t="s">
        <v>33</v>
      </c>
      <c r="C10" s="40" t="s">
        <v>34</v>
      </c>
      <c r="D10" s="40" t="s">
        <v>18</v>
      </c>
      <c r="E10" s="40" t="s">
        <v>19</v>
      </c>
      <c r="F10" s="41">
        <v>7</v>
      </c>
      <c r="G10" s="42">
        <v>1136.82</v>
      </c>
      <c r="H10" s="42">
        <v>195.12</v>
      </c>
      <c r="I10" s="42">
        <v>163.38</v>
      </c>
      <c r="J10" s="42">
        <v>91.01</v>
      </c>
      <c r="K10" s="40" t="s">
        <v>20</v>
      </c>
    </row>
    <row r="11" spans="1:11" x14ac:dyDescent="0.3">
      <c r="A11" s="40" t="s">
        <v>37</v>
      </c>
      <c r="B11" s="40" t="s">
        <v>12</v>
      </c>
      <c r="C11" s="40" t="s">
        <v>13</v>
      </c>
      <c r="D11" s="40" t="s">
        <v>22</v>
      </c>
      <c r="E11" s="40" t="s">
        <v>19</v>
      </c>
      <c r="F11" s="41">
        <v>10</v>
      </c>
      <c r="G11" s="42">
        <v>1024.67</v>
      </c>
      <c r="H11" s="42">
        <v>232.16</v>
      </c>
      <c r="I11" s="42">
        <v>169.84</v>
      </c>
      <c r="J11" s="42">
        <v>135.57</v>
      </c>
      <c r="K11" s="40" t="s">
        <v>16</v>
      </c>
    </row>
    <row r="12" spans="1:11" x14ac:dyDescent="0.3">
      <c r="A12" s="40" t="s">
        <v>38</v>
      </c>
      <c r="B12" s="40" t="s">
        <v>25</v>
      </c>
      <c r="C12" s="40" t="s">
        <v>26</v>
      </c>
      <c r="D12" s="40" t="s">
        <v>30</v>
      </c>
      <c r="E12" s="40" t="s">
        <v>19</v>
      </c>
      <c r="F12" s="41">
        <v>1</v>
      </c>
      <c r="G12" s="42">
        <v>67.209999999999994</v>
      </c>
      <c r="H12" s="42">
        <v>12.63</v>
      </c>
      <c r="I12" s="42">
        <v>9.01</v>
      </c>
      <c r="J12" s="42">
        <v>6.72</v>
      </c>
      <c r="K12" s="40" t="s">
        <v>20</v>
      </c>
    </row>
    <row r="13" spans="1:11" x14ac:dyDescent="0.3">
      <c r="A13" s="40" t="s">
        <v>39</v>
      </c>
      <c r="B13" s="40" t="s">
        <v>12</v>
      </c>
      <c r="C13" s="40" t="s">
        <v>13</v>
      </c>
      <c r="D13" s="40" t="s">
        <v>28</v>
      </c>
      <c r="E13" s="40" t="s">
        <v>19</v>
      </c>
      <c r="F13" s="41">
        <v>10</v>
      </c>
      <c r="G13" s="42">
        <v>1265.97</v>
      </c>
      <c r="H13" s="42">
        <v>260.92</v>
      </c>
      <c r="I13" s="42">
        <v>180.79</v>
      </c>
      <c r="J13" s="42">
        <v>157.04</v>
      </c>
      <c r="K13" s="40" t="s">
        <v>20</v>
      </c>
    </row>
    <row r="14" spans="1:11" x14ac:dyDescent="0.3">
      <c r="A14" s="40" t="s">
        <v>40</v>
      </c>
      <c r="B14" s="40" t="s">
        <v>33</v>
      </c>
      <c r="C14" s="40" t="s">
        <v>34</v>
      </c>
      <c r="D14" s="40" t="s">
        <v>18</v>
      </c>
      <c r="E14" s="40" t="s">
        <v>19</v>
      </c>
      <c r="F14" s="41">
        <v>3</v>
      </c>
      <c r="G14" s="42">
        <v>411.49</v>
      </c>
      <c r="H14" s="42">
        <v>104.21</v>
      </c>
      <c r="I14" s="42">
        <v>59.78</v>
      </c>
      <c r="J14" s="42">
        <v>41.11</v>
      </c>
      <c r="K14" s="40" t="s">
        <v>20</v>
      </c>
    </row>
    <row r="15" spans="1:11" x14ac:dyDescent="0.3">
      <c r="A15" s="40" t="s">
        <v>41</v>
      </c>
      <c r="B15" s="40" t="s">
        <v>33</v>
      </c>
      <c r="C15" s="40" t="s">
        <v>34</v>
      </c>
      <c r="D15" s="40" t="s">
        <v>28</v>
      </c>
      <c r="E15" s="40" t="s">
        <v>19</v>
      </c>
      <c r="F15" s="41">
        <v>13</v>
      </c>
      <c r="G15" s="42">
        <v>1675.46</v>
      </c>
      <c r="H15" s="42">
        <v>366.3</v>
      </c>
      <c r="I15" s="42">
        <v>250.28</v>
      </c>
      <c r="J15" s="42">
        <v>250.6</v>
      </c>
      <c r="K15" s="40" t="s">
        <v>20</v>
      </c>
    </row>
    <row r="16" spans="1:11" x14ac:dyDescent="0.3">
      <c r="A16" s="40" t="s">
        <v>42</v>
      </c>
      <c r="B16" s="40" t="s">
        <v>12</v>
      </c>
      <c r="C16" s="40" t="s">
        <v>13</v>
      </c>
      <c r="D16" s="40" t="s">
        <v>18</v>
      </c>
      <c r="E16" s="40" t="s">
        <v>19</v>
      </c>
      <c r="F16" s="41">
        <v>11</v>
      </c>
      <c r="G16" s="42">
        <v>1651.45</v>
      </c>
      <c r="H16" s="42">
        <v>301.77999999999997</v>
      </c>
      <c r="I16" s="42">
        <v>253.95</v>
      </c>
      <c r="J16" s="42">
        <v>165.98</v>
      </c>
      <c r="K16" s="40" t="s">
        <v>23</v>
      </c>
    </row>
    <row r="17" spans="1:11" x14ac:dyDescent="0.3">
      <c r="A17" s="40" t="s">
        <v>43</v>
      </c>
      <c r="B17" s="40" t="s">
        <v>12</v>
      </c>
      <c r="C17" s="40" t="s">
        <v>13</v>
      </c>
      <c r="D17" s="40" t="s">
        <v>14</v>
      </c>
      <c r="E17" s="40" t="s">
        <v>15</v>
      </c>
      <c r="F17" s="41">
        <v>11</v>
      </c>
      <c r="G17" s="42">
        <v>1759.1</v>
      </c>
      <c r="H17" s="42">
        <v>330.8</v>
      </c>
      <c r="I17" s="42">
        <v>234.6</v>
      </c>
      <c r="J17" s="42">
        <v>283.76</v>
      </c>
      <c r="K17" s="40" t="s">
        <v>23</v>
      </c>
    </row>
    <row r="18" spans="1:11" x14ac:dyDescent="0.3">
      <c r="A18" s="40" t="s">
        <v>44</v>
      </c>
      <c r="B18" s="40" t="s">
        <v>33</v>
      </c>
      <c r="C18" s="40" t="s">
        <v>34</v>
      </c>
      <c r="D18" s="40" t="s">
        <v>22</v>
      </c>
      <c r="E18" s="40" t="s">
        <v>19</v>
      </c>
      <c r="F18" s="41">
        <v>3</v>
      </c>
      <c r="G18" s="42">
        <v>371.28</v>
      </c>
      <c r="H18" s="42">
        <v>75.17</v>
      </c>
      <c r="I18" s="42">
        <v>49.51</v>
      </c>
      <c r="J18" s="42">
        <v>44.55</v>
      </c>
      <c r="K18" s="40" t="s">
        <v>23</v>
      </c>
    </row>
    <row r="19" spans="1:11" x14ac:dyDescent="0.3">
      <c r="A19" s="40" t="s">
        <v>45</v>
      </c>
      <c r="B19" s="40" t="s">
        <v>25</v>
      </c>
      <c r="C19" s="40" t="s">
        <v>26</v>
      </c>
      <c r="D19" s="40" t="s">
        <v>18</v>
      </c>
      <c r="E19" s="40" t="s">
        <v>19</v>
      </c>
      <c r="F19" s="41">
        <v>4</v>
      </c>
      <c r="G19" s="42">
        <v>536.96</v>
      </c>
      <c r="H19" s="42">
        <v>125.38</v>
      </c>
      <c r="I19" s="42">
        <v>99.93</v>
      </c>
      <c r="J19" s="42">
        <v>63.04</v>
      </c>
      <c r="K19" s="40" t="s">
        <v>16</v>
      </c>
    </row>
    <row r="20" spans="1:11" x14ac:dyDescent="0.3">
      <c r="A20" s="40" t="s">
        <v>46</v>
      </c>
      <c r="B20" s="40" t="s">
        <v>33</v>
      </c>
      <c r="C20" s="40" t="s">
        <v>34</v>
      </c>
      <c r="D20" s="40" t="s">
        <v>30</v>
      </c>
      <c r="E20" s="40" t="s">
        <v>19</v>
      </c>
      <c r="F20" s="41">
        <v>12</v>
      </c>
      <c r="G20" s="42">
        <v>809.44</v>
      </c>
      <c r="H20" s="42">
        <v>204.4</v>
      </c>
      <c r="I20" s="42">
        <v>131.63</v>
      </c>
      <c r="J20" s="42">
        <v>91.52</v>
      </c>
      <c r="K20" s="40" t="s">
        <v>20</v>
      </c>
    </row>
    <row r="21" spans="1:11" x14ac:dyDescent="0.3">
      <c r="A21" s="40" t="s">
        <v>47</v>
      </c>
      <c r="B21" s="40" t="s">
        <v>25</v>
      </c>
      <c r="C21" s="40" t="s">
        <v>26</v>
      </c>
      <c r="D21" s="40" t="s">
        <v>22</v>
      </c>
      <c r="E21" s="40" t="s">
        <v>19</v>
      </c>
      <c r="F21" s="41">
        <v>8</v>
      </c>
      <c r="G21" s="42">
        <v>979.63</v>
      </c>
      <c r="H21" s="42">
        <v>145.62</v>
      </c>
      <c r="I21" s="42">
        <v>129.54</v>
      </c>
      <c r="J21" s="42">
        <v>118.16</v>
      </c>
      <c r="K21" s="40" t="s">
        <v>23</v>
      </c>
    </row>
    <row r="22" spans="1:11" x14ac:dyDescent="0.3">
      <c r="A22" s="40" t="s">
        <v>48</v>
      </c>
      <c r="B22" s="40" t="s">
        <v>12</v>
      </c>
      <c r="C22" s="40" t="s">
        <v>13</v>
      </c>
      <c r="D22" s="40" t="s">
        <v>30</v>
      </c>
      <c r="E22" s="40" t="s">
        <v>19</v>
      </c>
      <c r="F22" s="41">
        <v>8</v>
      </c>
      <c r="G22" s="42">
        <v>543.1</v>
      </c>
      <c r="H22" s="42">
        <v>113.88</v>
      </c>
      <c r="I22" s="42">
        <v>75.06</v>
      </c>
      <c r="J22" s="42">
        <v>54.25</v>
      </c>
      <c r="K22" s="40" t="s">
        <v>16</v>
      </c>
    </row>
    <row r="23" spans="1:11" x14ac:dyDescent="0.3">
      <c r="A23" s="40" t="s">
        <v>49</v>
      </c>
      <c r="B23" s="40" t="s">
        <v>12</v>
      </c>
      <c r="C23" s="40" t="s">
        <v>13</v>
      </c>
      <c r="D23" s="40" t="s">
        <v>14</v>
      </c>
      <c r="E23" s="40" t="s">
        <v>15</v>
      </c>
      <c r="F23" s="41">
        <v>14</v>
      </c>
      <c r="G23" s="42">
        <v>2182</v>
      </c>
      <c r="H23" s="42">
        <v>421.97</v>
      </c>
      <c r="I23" s="42">
        <v>287.94</v>
      </c>
      <c r="J23" s="42">
        <v>327.49</v>
      </c>
      <c r="K23" s="40" t="s">
        <v>23</v>
      </c>
    </row>
    <row r="24" spans="1:11" x14ac:dyDescent="0.3">
      <c r="A24" s="40" t="s">
        <v>50</v>
      </c>
      <c r="B24" s="40" t="s">
        <v>33</v>
      </c>
      <c r="C24" s="40" t="s">
        <v>34</v>
      </c>
      <c r="D24" s="40" t="s">
        <v>22</v>
      </c>
      <c r="E24" s="40" t="s">
        <v>19</v>
      </c>
      <c r="F24" s="41">
        <v>5</v>
      </c>
      <c r="G24" s="42">
        <v>628.14</v>
      </c>
      <c r="H24" s="42">
        <v>107.07</v>
      </c>
      <c r="I24" s="42">
        <v>73.66</v>
      </c>
      <c r="J24" s="42">
        <v>55.23</v>
      </c>
      <c r="K24" s="40" t="s">
        <v>20</v>
      </c>
    </row>
    <row r="25" spans="1:11" x14ac:dyDescent="0.3">
      <c r="A25" s="40" t="s">
        <v>51</v>
      </c>
      <c r="B25" s="40" t="s">
        <v>33</v>
      </c>
      <c r="C25" s="40" t="s">
        <v>34</v>
      </c>
      <c r="D25" s="40" t="s">
        <v>35</v>
      </c>
      <c r="E25" s="40" t="s">
        <v>19</v>
      </c>
      <c r="F25" s="41">
        <v>2</v>
      </c>
      <c r="G25" s="42">
        <v>152.22</v>
      </c>
      <c r="H25" s="42">
        <v>37.409999999999997</v>
      </c>
      <c r="I25" s="42">
        <v>21.64</v>
      </c>
      <c r="J25" s="42">
        <v>17.95</v>
      </c>
      <c r="K25" s="40" t="s">
        <v>20</v>
      </c>
    </row>
    <row r="26" spans="1:11" x14ac:dyDescent="0.3">
      <c r="A26" s="40" t="s">
        <v>52</v>
      </c>
      <c r="B26" s="40" t="s">
        <v>12</v>
      </c>
      <c r="C26" s="40" t="s">
        <v>13</v>
      </c>
      <c r="D26" s="40" t="s">
        <v>28</v>
      </c>
      <c r="E26" s="40" t="s">
        <v>19</v>
      </c>
      <c r="F26" s="41">
        <v>5</v>
      </c>
      <c r="G26" s="42">
        <v>685.63</v>
      </c>
      <c r="H26" s="42">
        <v>101.55</v>
      </c>
      <c r="I26" s="42">
        <v>80.41</v>
      </c>
      <c r="J26" s="42">
        <v>81.05</v>
      </c>
      <c r="K26" s="40" t="s">
        <v>20</v>
      </c>
    </row>
    <row r="27" spans="1:11" x14ac:dyDescent="0.3">
      <c r="A27" s="40" t="s">
        <v>53</v>
      </c>
      <c r="B27" s="40" t="s">
        <v>12</v>
      </c>
      <c r="C27" s="40" t="s">
        <v>13</v>
      </c>
      <c r="D27" s="40" t="s">
        <v>14</v>
      </c>
      <c r="E27" s="40" t="s">
        <v>15</v>
      </c>
      <c r="F27" s="41">
        <v>13</v>
      </c>
      <c r="G27" s="42">
        <v>1884.8</v>
      </c>
      <c r="H27" s="42">
        <v>295.98</v>
      </c>
      <c r="I27" s="42">
        <v>257.24</v>
      </c>
      <c r="J27" s="42">
        <v>347.26</v>
      </c>
      <c r="K27" s="40" t="s">
        <v>20</v>
      </c>
    </row>
    <row r="28" spans="1:11" x14ac:dyDescent="0.3">
      <c r="A28" s="40" t="s">
        <v>54</v>
      </c>
      <c r="B28" s="40" t="s">
        <v>12</v>
      </c>
      <c r="C28" s="40" t="s">
        <v>13</v>
      </c>
      <c r="D28" s="40" t="s">
        <v>14</v>
      </c>
      <c r="E28" s="40" t="s">
        <v>15</v>
      </c>
      <c r="F28" s="41">
        <v>2</v>
      </c>
      <c r="G28" s="42">
        <v>293.35000000000002</v>
      </c>
      <c r="H28" s="42">
        <v>63.52</v>
      </c>
      <c r="I28" s="42">
        <v>36.270000000000003</v>
      </c>
      <c r="J28" s="42">
        <v>54.38</v>
      </c>
      <c r="K28" s="40" t="s">
        <v>23</v>
      </c>
    </row>
    <row r="29" spans="1:11" x14ac:dyDescent="0.3">
      <c r="A29" s="40" t="s">
        <v>55</v>
      </c>
      <c r="B29" s="40" t="s">
        <v>25</v>
      </c>
      <c r="C29" s="40" t="s">
        <v>26</v>
      </c>
      <c r="D29" s="40" t="s">
        <v>18</v>
      </c>
      <c r="E29" s="40" t="s">
        <v>19</v>
      </c>
      <c r="F29" s="41">
        <v>6</v>
      </c>
      <c r="G29" s="42">
        <v>832.16</v>
      </c>
      <c r="H29" s="42">
        <v>198.05</v>
      </c>
      <c r="I29" s="42">
        <v>117.58</v>
      </c>
      <c r="J29" s="42">
        <v>81.73</v>
      </c>
      <c r="K29" s="40" t="s">
        <v>16</v>
      </c>
    </row>
    <row r="30" spans="1:11" x14ac:dyDescent="0.3">
      <c r="A30" s="40" t="s">
        <v>56</v>
      </c>
      <c r="B30" s="40" t="s">
        <v>33</v>
      </c>
      <c r="C30" s="40" t="s">
        <v>34</v>
      </c>
      <c r="D30" s="40" t="s">
        <v>35</v>
      </c>
      <c r="E30" s="40" t="s">
        <v>19</v>
      </c>
      <c r="F30" s="41">
        <v>8</v>
      </c>
      <c r="G30" s="42">
        <v>672.7</v>
      </c>
      <c r="H30" s="42">
        <v>173.87</v>
      </c>
      <c r="I30" s="42">
        <v>96.6</v>
      </c>
      <c r="J30" s="42">
        <v>65.14</v>
      </c>
      <c r="K30" s="40" t="s">
        <v>23</v>
      </c>
    </row>
    <row r="31" spans="1:11" x14ac:dyDescent="0.3">
      <c r="A31" s="40" t="s">
        <v>57</v>
      </c>
      <c r="B31" s="40" t="s">
        <v>33</v>
      </c>
      <c r="C31" s="40" t="s">
        <v>34</v>
      </c>
      <c r="D31" s="40" t="s">
        <v>28</v>
      </c>
      <c r="E31" s="40" t="s">
        <v>19</v>
      </c>
      <c r="F31" s="41">
        <v>2</v>
      </c>
      <c r="G31" s="42">
        <v>245.74</v>
      </c>
      <c r="H31" s="42">
        <v>51.15</v>
      </c>
      <c r="I31" s="42">
        <v>37.64</v>
      </c>
      <c r="J31" s="42">
        <v>37.159999999999997</v>
      </c>
      <c r="K31" s="40" t="s">
        <v>23</v>
      </c>
    </row>
    <row r="32" spans="1:11" x14ac:dyDescent="0.3">
      <c r="A32" s="40" t="s">
        <v>58</v>
      </c>
      <c r="B32" s="40" t="s">
        <v>25</v>
      </c>
      <c r="C32" s="40" t="s">
        <v>26</v>
      </c>
      <c r="D32" s="40" t="s">
        <v>14</v>
      </c>
      <c r="E32" s="40" t="s">
        <v>15</v>
      </c>
      <c r="F32" s="41">
        <v>6</v>
      </c>
      <c r="G32" s="42">
        <v>936.98</v>
      </c>
      <c r="H32" s="42">
        <v>133.44</v>
      </c>
      <c r="I32" s="42">
        <v>129.58000000000001</v>
      </c>
      <c r="J32" s="42">
        <v>120.27</v>
      </c>
      <c r="K32" s="40" t="s">
        <v>23</v>
      </c>
    </row>
    <row r="33" spans="1:11" x14ac:dyDescent="0.3">
      <c r="A33" s="40" t="s">
        <v>59</v>
      </c>
      <c r="B33" s="40" t="s">
        <v>12</v>
      </c>
      <c r="C33" s="40" t="s">
        <v>13</v>
      </c>
      <c r="D33" s="40" t="s">
        <v>18</v>
      </c>
      <c r="E33" s="40" t="s">
        <v>19</v>
      </c>
      <c r="F33" s="41">
        <v>8</v>
      </c>
      <c r="G33" s="42">
        <v>1096.43</v>
      </c>
      <c r="H33" s="42">
        <v>258.37</v>
      </c>
      <c r="I33" s="42">
        <v>195.83</v>
      </c>
      <c r="J33" s="42">
        <v>118.81</v>
      </c>
      <c r="K33" s="40" t="s">
        <v>23</v>
      </c>
    </row>
    <row r="34" spans="1:11" x14ac:dyDescent="0.3">
      <c r="A34" s="40" t="s">
        <v>60</v>
      </c>
      <c r="B34" s="40" t="s">
        <v>33</v>
      </c>
      <c r="C34" s="40" t="s">
        <v>34</v>
      </c>
      <c r="D34" s="40" t="s">
        <v>30</v>
      </c>
      <c r="E34" s="40" t="s">
        <v>19</v>
      </c>
      <c r="F34" s="41">
        <v>2</v>
      </c>
      <c r="G34" s="42">
        <v>120.17</v>
      </c>
      <c r="H34" s="42">
        <v>29.36</v>
      </c>
      <c r="I34" s="42">
        <v>19.27</v>
      </c>
      <c r="J34" s="42">
        <v>13.36</v>
      </c>
      <c r="K34" s="40" t="s">
        <v>20</v>
      </c>
    </row>
    <row r="35" spans="1:11" x14ac:dyDescent="0.3">
      <c r="A35" s="40" t="s">
        <v>61</v>
      </c>
      <c r="B35" s="40" t="s">
        <v>25</v>
      </c>
      <c r="C35" s="40" t="s">
        <v>26</v>
      </c>
      <c r="D35" s="40" t="s">
        <v>14</v>
      </c>
      <c r="E35" s="40" t="s">
        <v>15</v>
      </c>
      <c r="F35" s="41">
        <v>10</v>
      </c>
      <c r="G35" s="42">
        <v>1607.69</v>
      </c>
      <c r="H35" s="42">
        <v>273.74</v>
      </c>
      <c r="I35" s="42">
        <v>238.94</v>
      </c>
      <c r="J35" s="42">
        <v>246.95</v>
      </c>
      <c r="K35" s="40" t="s">
        <v>23</v>
      </c>
    </row>
    <row r="36" spans="1:11" x14ac:dyDescent="0.3">
      <c r="A36" s="40" t="s">
        <v>62</v>
      </c>
      <c r="B36" s="40" t="s">
        <v>33</v>
      </c>
      <c r="C36" s="40" t="s">
        <v>34</v>
      </c>
      <c r="D36" s="40" t="s">
        <v>28</v>
      </c>
      <c r="E36" s="40" t="s">
        <v>19</v>
      </c>
      <c r="F36" s="41">
        <v>3</v>
      </c>
      <c r="G36" s="42">
        <v>404.18</v>
      </c>
      <c r="H36" s="42">
        <v>82.99</v>
      </c>
      <c r="I36" s="42">
        <v>50.14</v>
      </c>
      <c r="J36" s="42">
        <v>57.96</v>
      </c>
      <c r="K36" s="40" t="s">
        <v>23</v>
      </c>
    </row>
    <row r="37" spans="1:11" x14ac:dyDescent="0.3">
      <c r="A37" s="40" t="s">
        <v>63</v>
      </c>
      <c r="B37" s="40" t="s">
        <v>12</v>
      </c>
      <c r="C37" s="40" t="s">
        <v>13</v>
      </c>
      <c r="D37" s="40" t="s">
        <v>35</v>
      </c>
      <c r="E37" s="40" t="s">
        <v>19</v>
      </c>
      <c r="F37" s="41">
        <v>8</v>
      </c>
      <c r="G37" s="42">
        <v>734.2</v>
      </c>
      <c r="H37" s="42">
        <v>156.19</v>
      </c>
      <c r="I37" s="42">
        <v>94.51</v>
      </c>
      <c r="J37" s="42">
        <v>82.71</v>
      </c>
      <c r="K37" s="40" t="s">
        <v>16</v>
      </c>
    </row>
    <row r="38" spans="1:11" x14ac:dyDescent="0.3">
      <c r="A38" s="40" t="s">
        <v>64</v>
      </c>
      <c r="B38" s="40" t="s">
        <v>12</v>
      </c>
      <c r="C38" s="40" t="s">
        <v>13</v>
      </c>
      <c r="D38" s="40" t="s">
        <v>22</v>
      </c>
      <c r="E38" s="40" t="s">
        <v>19</v>
      </c>
      <c r="F38" s="41">
        <v>4</v>
      </c>
      <c r="G38" s="42">
        <v>500.28</v>
      </c>
      <c r="H38" s="42">
        <v>102.69</v>
      </c>
      <c r="I38" s="42">
        <v>49.06</v>
      </c>
      <c r="J38" s="42">
        <v>54.35</v>
      </c>
      <c r="K38" s="40" t="s">
        <v>16</v>
      </c>
    </row>
    <row r="39" spans="1:11" x14ac:dyDescent="0.3">
      <c r="A39" s="40" t="s">
        <v>65</v>
      </c>
      <c r="B39" s="40" t="s">
        <v>12</v>
      </c>
      <c r="C39" s="40" t="s">
        <v>13</v>
      </c>
      <c r="D39" s="40" t="s">
        <v>35</v>
      </c>
      <c r="E39" s="40" t="s">
        <v>19</v>
      </c>
      <c r="F39" s="41">
        <v>9</v>
      </c>
      <c r="G39" s="42">
        <v>854.67</v>
      </c>
      <c r="H39" s="42">
        <v>153.77000000000001</v>
      </c>
      <c r="I39" s="42">
        <v>93.92</v>
      </c>
      <c r="J39" s="42">
        <v>98.52</v>
      </c>
      <c r="K39" s="40" t="s">
        <v>16</v>
      </c>
    </row>
    <row r="40" spans="1:11" x14ac:dyDescent="0.3">
      <c r="A40" s="40" t="s">
        <v>66</v>
      </c>
      <c r="B40" s="40" t="s">
        <v>12</v>
      </c>
      <c r="C40" s="40" t="s">
        <v>13</v>
      </c>
      <c r="D40" s="40" t="s">
        <v>35</v>
      </c>
      <c r="E40" s="40" t="s">
        <v>19</v>
      </c>
      <c r="F40" s="41">
        <v>6</v>
      </c>
      <c r="G40" s="42">
        <v>490.84</v>
      </c>
      <c r="H40" s="42">
        <v>110.36</v>
      </c>
      <c r="I40" s="42">
        <v>69.8</v>
      </c>
      <c r="J40" s="42">
        <v>48.08</v>
      </c>
      <c r="K40" s="40" t="s">
        <v>16</v>
      </c>
    </row>
    <row r="41" spans="1:11" x14ac:dyDescent="0.3">
      <c r="A41" s="40" t="s">
        <v>67</v>
      </c>
      <c r="B41" s="40" t="s">
        <v>25</v>
      </c>
      <c r="C41" s="40" t="s">
        <v>26</v>
      </c>
      <c r="D41" s="40" t="s">
        <v>14</v>
      </c>
      <c r="E41" s="40" t="s">
        <v>15</v>
      </c>
      <c r="F41" s="41">
        <v>7</v>
      </c>
      <c r="G41" s="42">
        <v>1011.01</v>
      </c>
      <c r="H41" s="42">
        <v>164.68</v>
      </c>
      <c r="I41" s="42">
        <v>166.66</v>
      </c>
      <c r="J41" s="42">
        <v>147.63</v>
      </c>
      <c r="K41" s="40" t="s">
        <v>20</v>
      </c>
    </row>
    <row r="42" spans="1:11" x14ac:dyDescent="0.3">
      <c r="A42" s="40" t="s">
        <v>68</v>
      </c>
      <c r="B42" s="40" t="s">
        <v>33</v>
      </c>
      <c r="C42" s="40" t="s">
        <v>34</v>
      </c>
      <c r="D42" s="40" t="s">
        <v>18</v>
      </c>
      <c r="E42" s="40" t="s">
        <v>19</v>
      </c>
      <c r="F42" s="41">
        <v>13</v>
      </c>
      <c r="G42" s="42">
        <v>1781.07</v>
      </c>
      <c r="H42" s="42">
        <v>359.48</v>
      </c>
      <c r="I42" s="42">
        <v>286.75</v>
      </c>
      <c r="J42" s="42">
        <v>182.16</v>
      </c>
      <c r="K42" s="40" t="s">
        <v>23</v>
      </c>
    </row>
    <row r="43" spans="1:11" x14ac:dyDescent="0.3">
      <c r="A43" s="40" t="s">
        <v>69</v>
      </c>
      <c r="B43" s="40" t="s">
        <v>12</v>
      </c>
      <c r="C43" s="40" t="s">
        <v>13</v>
      </c>
      <c r="D43" s="40" t="s">
        <v>35</v>
      </c>
      <c r="E43" s="40" t="s">
        <v>19</v>
      </c>
      <c r="F43" s="41">
        <v>13</v>
      </c>
      <c r="G43" s="42">
        <v>1115.3499999999999</v>
      </c>
      <c r="H43" s="42">
        <v>205.94</v>
      </c>
      <c r="I43" s="42">
        <v>145.62</v>
      </c>
      <c r="J43" s="42">
        <v>120.9</v>
      </c>
      <c r="K43" s="40" t="s">
        <v>23</v>
      </c>
    </row>
    <row r="44" spans="1:11" x14ac:dyDescent="0.3">
      <c r="A44" s="40" t="s">
        <v>70</v>
      </c>
      <c r="B44" s="40" t="s">
        <v>25</v>
      </c>
      <c r="C44" s="40" t="s">
        <v>26</v>
      </c>
      <c r="D44" s="40" t="s">
        <v>18</v>
      </c>
      <c r="E44" s="40" t="s">
        <v>19</v>
      </c>
      <c r="F44" s="41">
        <v>3</v>
      </c>
      <c r="G44" s="42">
        <v>492.21</v>
      </c>
      <c r="H44" s="42">
        <v>92.95</v>
      </c>
      <c r="I44" s="42">
        <v>74.010000000000005</v>
      </c>
      <c r="J44" s="42">
        <v>47.51</v>
      </c>
      <c r="K44" s="40" t="s">
        <v>20</v>
      </c>
    </row>
    <row r="45" spans="1:11" x14ac:dyDescent="0.3">
      <c r="A45" s="40" t="s">
        <v>71</v>
      </c>
      <c r="B45" s="40" t="s">
        <v>12</v>
      </c>
      <c r="C45" s="40" t="s">
        <v>13</v>
      </c>
      <c r="D45" s="40" t="s">
        <v>28</v>
      </c>
      <c r="E45" s="40" t="s">
        <v>19</v>
      </c>
      <c r="F45" s="41">
        <v>4</v>
      </c>
      <c r="G45" s="42">
        <v>603.78</v>
      </c>
      <c r="H45" s="42">
        <v>94.45</v>
      </c>
      <c r="I45" s="42">
        <v>72.510000000000005</v>
      </c>
      <c r="J45" s="42">
        <v>66.290000000000006</v>
      </c>
      <c r="K45" s="40" t="s">
        <v>23</v>
      </c>
    </row>
    <row r="46" spans="1:11" x14ac:dyDescent="0.3">
      <c r="A46" s="40" t="s">
        <v>72</v>
      </c>
      <c r="B46" s="40" t="s">
        <v>33</v>
      </c>
      <c r="C46" s="40" t="s">
        <v>34</v>
      </c>
      <c r="D46" s="40" t="s">
        <v>35</v>
      </c>
      <c r="E46" s="40" t="s">
        <v>19</v>
      </c>
      <c r="F46" s="41">
        <v>1</v>
      </c>
      <c r="G46" s="42">
        <v>77.17</v>
      </c>
      <c r="H46" s="42">
        <v>15.27</v>
      </c>
      <c r="I46" s="42">
        <v>10.69</v>
      </c>
      <c r="J46" s="42">
        <v>9.32</v>
      </c>
      <c r="K46" s="40" t="s">
        <v>23</v>
      </c>
    </row>
    <row r="47" spans="1:11" x14ac:dyDescent="0.3">
      <c r="A47" s="40" t="s">
        <v>73</v>
      </c>
      <c r="B47" s="40" t="s">
        <v>12</v>
      </c>
      <c r="C47" s="40" t="s">
        <v>13</v>
      </c>
      <c r="D47" s="40" t="s">
        <v>14</v>
      </c>
      <c r="E47" s="40" t="s">
        <v>15</v>
      </c>
      <c r="F47" s="41">
        <v>10</v>
      </c>
      <c r="G47" s="42">
        <v>1420.19</v>
      </c>
      <c r="H47" s="42">
        <v>248.55</v>
      </c>
      <c r="I47" s="42">
        <v>222.76</v>
      </c>
      <c r="J47" s="42">
        <v>237.74</v>
      </c>
      <c r="K47" s="40" t="s">
        <v>23</v>
      </c>
    </row>
    <row r="48" spans="1:11" x14ac:dyDescent="0.3">
      <c r="A48" s="40" t="s">
        <v>74</v>
      </c>
      <c r="B48" s="40" t="s">
        <v>25</v>
      </c>
      <c r="C48" s="40" t="s">
        <v>26</v>
      </c>
      <c r="D48" s="40" t="s">
        <v>30</v>
      </c>
      <c r="E48" s="40" t="s">
        <v>19</v>
      </c>
      <c r="F48" s="41">
        <v>8</v>
      </c>
      <c r="G48" s="42">
        <v>589.41</v>
      </c>
      <c r="H48" s="42">
        <v>142.75</v>
      </c>
      <c r="I48" s="42">
        <v>68.23</v>
      </c>
      <c r="J48" s="42">
        <v>52.13</v>
      </c>
      <c r="K48" s="40" t="s">
        <v>23</v>
      </c>
    </row>
    <row r="49" spans="1:11" x14ac:dyDescent="0.3">
      <c r="A49" s="40" t="s">
        <v>75</v>
      </c>
      <c r="B49" s="40" t="s">
        <v>25</v>
      </c>
      <c r="C49" s="40" t="s">
        <v>26</v>
      </c>
      <c r="D49" s="40" t="s">
        <v>14</v>
      </c>
      <c r="E49" s="40" t="s">
        <v>15</v>
      </c>
      <c r="F49" s="41">
        <v>14</v>
      </c>
      <c r="G49" s="42">
        <v>2020.84</v>
      </c>
      <c r="H49" s="42">
        <v>385.48</v>
      </c>
      <c r="I49" s="42">
        <v>300.87</v>
      </c>
      <c r="J49" s="42">
        <v>374.73</v>
      </c>
      <c r="K49" s="40" t="s">
        <v>23</v>
      </c>
    </row>
    <row r="50" spans="1:11" x14ac:dyDescent="0.3">
      <c r="A50" s="40" t="s">
        <v>76</v>
      </c>
      <c r="B50" s="40" t="s">
        <v>25</v>
      </c>
      <c r="C50" s="40" t="s">
        <v>26</v>
      </c>
      <c r="D50" s="40" t="s">
        <v>35</v>
      </c>
      <c r="E50" s="40" t="s">
        <v>19</v>
      </c>
      <c r="F50" s="41">
        <v>12</v>
      </c>
      <c r="G50" s="42">
        <v>1035.77</v>
      </c>
      <c r="H50" s="42">
        <v>226.35</v>
      </c>
      <c r="I50" s="42">
        <v>166.93</v>
      </c>
      <c r="J50" s="42">
        <v>131.44999999999999</v>
      </c>
      <c r="K50" s="40" t="s">
        <v>20</v>
      </c>
    </row>
    <row r="51" spans="1:11" x14ac:dyDescent="0.3">
      <c r="A51" s="40" t="s">
        <v>77</v>
      </c>
      <c r="B51" s="40" t="s">
        <v>25</v>
      </c>
      <c r="C51" s="40" t="s">
        <v>26</v>
      </c>
      <c r="D51" s="40" t="s">
        <v>28</v>
      </c>
      <c r="E51" s="40" t="s">
        <v>19</v>
      </c>
      <c r="F51" s="41">
        <v>13</v>
      </c>
      <c r="G51" s="42">
        <v>1721.92</v>
      </c>
      <c r="H51" s="42">
        <v>269.76</v>
      </c>
      <c r="I51" s="42">
        <v>227.65</v>
      </c>
      <c r="J51" s="42">
        <v>235.85</v>
      </c>
      <c r="K51" s="40" t="s">
        <v>23</v>
      </c>
    </row>
    <row r="52" spans="1:11" x14ac:dyDescent="0.3">
      <c r="A52" s="40" t="s">
        <v>78</v>
      </c>
      <c r="B52" s="40" t="s">
        <v>25</v>
      </c>
      <c r="C52" s="40" t="s">
        <v>26</v>
      </c>
      <c r="D52" s="40" t="s">
        <v>30</v>
      </c>
      <c r="E52" s="40" t="s">
        <v>19</v>
      </c>
      <c r="F52" s="41">
        <v>7</v>
      </c>
      <c r="G52" s="42">
        <v>453.97</v>
      </c>
      <c r="H52" s="42">
        <v>96.9</v>
      </c>
      <c r="I52" s="42">
        <v>58.89</v>
      </c>
      <c r="J52" s="42">
        <v>48.08</v>
      </c>
      <c r="K52" s="40" t="s">
        <v>20</v>
      </c>
    </row>
    <row r="53" spans="1:11" x14ac:dyDescent="0.3">
      <c r="A53" s="40" t="s">
        <v>79</v>
      </c>
      <c r="B53" s="40" t="s">
        <v>25</v>
      </c>
      <c r="C53" s="40" t="s">
        <v>26</v>
      </c>
      <c r="D53" s="40" t="s">
        <v>28</v>
      </c>
      <c r="E53" s="40" t="s">
        <v>19</v>
      </c>
      <c r="F53" s="41">
        <v>10</v>
      </c>
      <c r="G53" s="42">
        <v>1408.8</v>
      </c>
      <c r="H53" s="42">
        <v>201.06</v>
      </c>
      <c r="I53" s="42">
        <v>199.68</v>
      </c>
      <c r="J53" s="42">
        <v>163.05000000000001</v>
      </c>
      <c r="K53" s="40" t="s">
        <v>20</v>
      </c>
    </row>
    <row r="54" spans="1:11" x14ac:dyDescent="0.3">
      <c r="A54" s="40" t="s">
        <v>80</v>
      </c>
      <c r="B54" s="40" t="s">
        <v>33</v>
      </c>
      <c r="C54" s="40" t="s">
        <v>34</v>
      </c>
      <c r="D54" s="40" t="s">
        <v>14</v>
      </c>
      <c r="E54" s="40" t="s">
        <v>15</v>
      </c>
      <c r="F54" s="41">
        <v>3</v>
      </c>
      <c r="G54" s="42">
        <v>474.33</v>
      </c>
      <c r="H54" s="42">
        <v>66.760000000000005</v>
      </c>
      <c r="I54" s="42">
        <v>56.75</v>
      </c>
      <c r="J54" s="42">
        <v>76.14</v>
      </c>
      <c r="K54" s="40" t="s">
        <v>20</v>
      </c>
    </row>
    <row r="55" spans="1:11" x14ac:dyDescent="0.3">
      <c r="A55" s="40" t="s">
        <v>81</v>
      </c>
      <c r="B55" s="40" t="s">
        <v>12</v>
      </c>
      <c r="C55" s="40" t="s">
        <v>13</v>
      </c>
      <c r="D55" s="40" t="s">
        <v>28</v>
      </c>
      <c r="E55" s="40" t="s">
        <v>19</v>
      </c>
      <c r="F55" s="41">
        <v>9</v>
      </c>
      <c r="G55" s="42">
        <v>1252.3599999999999</v>
      </c>
      <c r="H55" s="42">
        <v>249.31</v>
      </c>
      <c r="I55" s="42">
        <v>172.14</v>
      </c>
      <c r="J55" s="42">
        <v>154.57</v>
      </c>
      <c r="K55" s="40" t="s">
        <v>20</v>
      </c>
    </row>
    <row r="56" spans="1:11" x14ac:dyDescent="0.3">
      <c r="A56" s="40" t="s">
        <v>82</v>
      </c>
      <c r="B56" s="40" t="s">
        <v>25</v>
      </c>
      <c r="C56" s="40" t="s">
        <v>26</v>
      </c>
      <c r="D56" s="40" t="s">
        <v>35</v>
      </c>
      <c r="E56" s="40" t="s">
        <v>19</v>
      </c>
      <c r="F56" s="41">
        <v>14</v>
      </c>
      <c r="G56" s="42">
        <v>1171.6600000000001</v>
      </c>
      <c r="H56" s="42">
        <v>282.64999999999998</v>
      </c>
      <c r="I56" s="42">
        <v>141.19999999999999</v>
      </c>
      <c r="J56" s="42">
        <v>112.72</v>
      </c>
      <c r="K56" s="40" t="s">
        <v>16</v>
      </c>
    </row>
    <row r="57" spans="1:11" x14ac:dyDescent="0.3">
      <c r="A57" s="40" t="s">
        <v>83</v>
      </c>
      <c r="B57" s="40" t="s">
        <v>12</v>
      </c>
      <c r="C57" s="40" t="s">
        <v>13</v>
      </c>
      <c r="D57" s="40" t="s">
        <v>30</v>
      </c>
      <c r="E57" s="40" t="s">
        <v>19</v>
      </c>
      <c r="F57" s="41">
        <v>5</v>
      </c>
      <c r="G57" s="42">
        <v>317</v>
      </c>
      <c r="H57" s="42">
        <v>60.42</v>
      </c>
      <c r="I57" s="42">
        <v>40.340000000000003</v>
      </c>
      <c r="J57" s="42">
        <v>30.91</v>
      </c>
      <c r="K57" s="40" t="s">
        <v>23</v>
      </c>
    </row>
    <row r="58" spans="1:11" x14ac:dyDescent="0.3">
      <c r="A58" s="40" t="s">
        <v>84</v>
      </c>
      <c r="B58" s="40" t="s">
        <v>12</v>
      </c>
      <c r="C58" s="40" t="s">
        <v>13</v>
      </c>
      <c r="D58" s="40" t="s">
        <v>35</v>
      </c>
      <c r="E58" s="40" t="s">
        <v>19</v>
      </c>
      <c r="F58" s="41">
        <v>3</v>
      </c>
      <c r="G58" s="42">
        <v>265.56</v>
      </c>
      <c r="H58" s="42">
        <v>60.55</v>
      </c>
      <c r="I58" s="42">
        <v>40.24</v>
      </c>
      <c r="J58" s="42">
        <v>24.3</v>
      </c>
      <c r="K58" s="40" t="s">
        <v>23</v>
      </c>
    </row>
    <row r="59" spans="1:11" x14ac:dyDescent="0.3">
      <c r="A59" s="40" t="s">
        <v>85</v>
      </c>
      <c r="B59" s="40" t="s">
        <v>33</v>
      </c>
      <c r="C59" s="40" t="s">
        <v>34</v>
      </c>
      <c r="D59" s="40" t="s">
        <v>22</v>
      </c>
      <c r="E59" s="40" t="s">
        <v>19</v>
      </c>
      <c r="F59" s="41">
        <v>12</v>
      </c>
      <c r="G59" s="42">
        <v>1332.75</v>
      </c>
      <c r="H59" s="42">
        <v>294.23</v>
      </c>
      <c r="I59" s="42">
        <v>204.33</v>
      </c>
      <c r="J59" s="42">
        <v>152.27000000000001</v>
      </c>
      <c r="K59" s="40" t="s">
        <v>23</v>
      </c>
    </row>
    <row r="60" spans="1:11" x14ac:dyDescent="0.3">
      <c r="A60" s="40" t="s">
        <v>86</v>
      </c>
      <c r="B60" s="40" t="s">
        <v>25</v>
      </c>
      <c r="C60" s="40" t="s">
        <v>26</v>
      </c>
      <c r="D60" s="40" t="s">
        <v>14</v>
      </c>
      <c r="E60" s="40" t="s">
        <v>15</v>
      </c>
      <c r="F60" s="41">
        <v>3</v>
      </c>
      <c r="G60" s="42">
        <v>499.88</v>
      </c>
      <c r="H60" s="42">
        <v>82.73</v>
      </c>
      <c r="I60" s="42">
        <v>54.78</v>
      </c>
      <c r="J60" s="42">
        <v>72.930000000000007</v>
      </c>
      <c r="K60" s="40" t="s">
        <v>23</v>
      </c>
    </row>
    <row r="61" spans="1:11" x14ac:dyDescent="0.3">
      <c r="A61" s="40" t="s">
        <v>87</v>
      </c>
      <c r="B61" s="40" t="s">
        <v>25</v>
      </c>
      <c r="C61" s="40" t="s">
        <v>26</v>
      </c>
      <c r="D61" s="40" t="s">
        <v>35</v>
      </c>
      <c r="E61" s="40" t="s">
        <v>19</v>
      </c>
      <c r="F61" s="41">
        <v>2</v>
      </c>
      <c r="G61" s="42">
        <v>163.35</v>
      </c>
      <c r="H61" s="42">
        <v>41.82</v>
      </c>
      <c r="I61" s="42">
        <v>26.46</v>
      </c>
      <c r="J61" s="42">
        <v>21.21</v>
      </c>
      <c r="K61" s="40" t="s">
        <v>20</v>
      </c>
    </row>
    <row r="62" spans="1:11" x14ac:dyDescent="0.3">
      <c r="A62" s="40" t="s">
        <v>88</v>
      </c>
      <c r="B62" s="40" t="s">
        <v>33</v>
      </c>
      <c r="C62" s="40" t="s">
        <v>34</v>
      </c>
      <c r="D62" s="40" t="s">
        <v>18</v>
      </c>
      <c r="E62" s="40" t="s">
        <v>19</v>
      </c>
      <c r="F62" s="41">
        <v>12</v>
      </c>
      <c r="G62" s="42">
        <v>1628.02</v>
      </c>
      <c r="H62" s="42">
        <v>452.59</v>
      </c>
      <c r="I62" s="42">
        <v>235.81</v>
      </c>
      <c r="J62" s="42">
        <v>172.75</v>
      </c>
      <c r="K62" s="40" t="s">
        <v>23</v>
      </c>
    </row>
    <row r="63" spans="1:11" x14ac:dyDescent="0.3">
      <c r="A63" s="40" t="s">
        <v>89</v>
      </c>
      <c r="B63" s="40" t="s">
        <v>25</v>
      </c>
      <c r="C63" s="40" t="s">
        <v>26</v>
      </c>
      <c r="D63" s="40" t="s">
        <v>35</v>
      </c>
      <c r="E63" s="40" t="s">
        <v>19</v>
      </c>
      <c r="F63" s="41">
        <v>9</v>
      </c>
      <c r="G63" s="42">
        <v>838.45</v>
      </c>
      <c r="H63" s="42">
        <v>135.11000000000001</v>
      </c>
      <c r="I63" s="42">
        <v>115.08</v>
      </c>
      <c r="J63" s="42">
        <v>75.290000000000006</v>
      </c>
      <c r="K63" s="40" t="s">
        <v>23</v>
      </c>
    </row>
    <row r="64" spans="1:11" x14ac:dyDescent="0.3">
      <c r="A64" s="40" t="s">
        <v>90</v>
      </c>
      <c r="B64" s="40" t="s">
        <v>12</v>
      </c>
      <c r="C64" s="40" t="s">
        <v>13</v>
      </c>
      <c r="D64" s="40" t="s">
        <v>28</v>
      </c>
      <c r="E64" s="40" t="s">
        <v>19</v>
      </c>
      <c r="F64" s="41">
        <v>1</v>
      </c>
      <c r="G64" s="42">
        <v>118.7</v>
      </c>
      <c r="H64" s="42">
        <v>20.37</v>
      </c>
      <c r="I64" s="42">
        <v>16.63</v>
      </c>
      <c r="J64" s="42">
        <v>17.649999999999999</v>
      </c>
      <c r="K64" s="40" t="s">
        <v>16</v>
      </c>
    </row>
    <row r="65" spans="1:11" x14ac:dyDescent="0.3">
      <c r="A65" s="40" t="s">
        <v>91</v>
      </c>
      <c r="B65" s="40" t="s">
        <v>33</v>
      </c>
      <c r="C65" s="40" t="s">
        <v>34</v>
      </c>
      <c r="D65" s="40" t="s">
        <v>35</v>
      </c>
      <c r="E65" s="40" t="s">
        <v>19</v>
      </c>
      <c r="F65" s="41">
        <v>13</v>
      </c>
      <c r="G65" s="42">
        <v>1051.6600000000001</v>
      </c>
      <c r="H65" s="42">
        <v>266.33</v>
      </c>
      <c r="I65" s="42">
        <v>157.21</v>
      </c>
      <c r="J65" s="42">
        <v>108.81</v>
      </c>
      <c r="K65" s="40" t="s">
        <v>16</v>
      </c>
    </row>
    <row r="66" spans="1:11" x14ac:dyDescent="0.3">
      <c r="A66" s="40" t="s">
        <v>92</v>
      </c>
      <c r="B66" s="40" t="s">
        <v>33</v>
      </c>
      <c r="C66" s="40" t="s">
        <v>34</v>
      </c>
      <c r="D66" s="40" t="s">
        <v>22</v>
      </c>
      <c r="E66" s="40" t="s">
        <v>19</v>
      </c>
      <c r="F66" s="41">
        <v>3</v>
      </c>
      <c r="G66" s="42">
        <v>364.39</v>
      </c>
      <c r="H66" s="42">
        <v>54.59</v>
      </c>
      <c r="I66" s="42">
        <v>44.22</v>
      </c>
      <c r="J66" s="42">
        <v>43.8</v>
      </c>
      <c r="K66" s="40" t="s">
        <v>16</v>
      </c>
    </row>
    <row r="67" spans="1:11" x14ac:dyDescent="0.3">
      <c r="A67" s="40" t="s">
        <v>93</v>
      </c>
      <c r="B67" s="40" t="s">
        <v>25</v>
      </c>
      <c r="C67" s="40" t="s">
        <v>26</v>
      </c>
      <c r="D67" s="40" t="s">
        <v>22</v>
      </c>
      <c r="E67" s="40" t="s">
        <v>19</v>
      </c>
      <c r="F67" s="41">
        <v>14</v>
      </c>
      <c r="G67" s="42">
        <v>1750.15</v>
      </c>
      <c r="H67" s="42">
        <v>266.13</v>
      </c>
      <c r="I67" s="42">
        <v>214.82</v>
      </c>
      <c r="J67" s="42">
        <v>157.62</v>
      </c>
      <c r="K67" s="40" t="s">
        <v>23</v>
      </c>
    </row>
    <row r="68" spans="1:11" x14ac:dyDescent="0.3">
      <c r="A68" s="40" t="s">
        <v>94</v>
      </c>
      <c r="B68" s="40" t="s">
        <v>33</v>
      </c>
      <c r="C68" s="40" t="s">
        <v>34</v>
      </c>
      <c r="D68" s="40" t="s">
        <v>28</v>
      </c>
      <c r="E68" s="40" t="s">
        <v>19</v>
      </c>
      <c r="F68" s="41">
        <v>10</v>
      </c>
      <c r="G68" s="42">
        <v>1398.38</v>
      </c>
      <c r="H68" s="42">
        <v>246.13</v>
      </c>
      <c r="I68" s="42">
        <v>151.19</v>
      </c>
      <c r="J68" s="42">
        <v>176.18</v>
      </c>
      <c r="K68" s="40" t="s">
        <v>16</v>
      </c>
    </row>
    <row r="69" spans="1:11" x14ac:dyDescent="0.3">
      <c r="A69" s="40" t="s">
        <v>95</v>
      </c>
      <c r="B69" s="40" t="s">
        <v>12</v>
      </c>
      <c r="C69" s="40" t="s">
        <v>13</v>
      </c>
      <c r="D69" s="40" t="s">
        <v>28</v>
      </c>
      <c r="E69" s="40" t="s">
        <v>19</v>
      </c>
      <c r="F69" s="41">
        <v>12</v>
      </c>
      <c r="G69" s="42">
        <v>1480.41</v>
      </c>
      <c r="H69" s="42">
        <v>253.57</v>
      </c>
      <c r="I69" s="42">
        <v>199.13</v>
      </c>
      <c r="J69" s="42">
        <v>203.22</v>
      </c>
      <c r="K69" s="40" t="s">
        <v>16</v>
      </c>
    </row>
    <row r="70" spans="1:11" x14ac:dyDescent="0.3">
      <c r="A70" s="40" t="s">
        <v>96</v>
      </c>
      <c r="B70" s="40" t="s">
        <v>25</v>
      </c>
      <c r="C70" s="40" t="s">
        <v>26</v>
      </c>
      <c r="D70" s="40" t="s">
        <v>14</v>
      </c>
      <c r="E70" s="40" t="s">
        <v>15</v>
      </c>
      <c r="F70" s="41">
        <v>4</v>
      </c>
      <c r="G70" s="42">
        <v>628.05999999999995</v>
      </c>
      <c r="H70" s="42">
        <v>93.87</v>
      </c>
      <c r="I70" s="42">
        <v>88.12</v>
      </c>
      <c r="J70" s="42">
        <v>94.97</v>
      </c>
      <c r="K70" s="40" t="s">
        <v>23</v>
      </c>
    </row>
    <row r="71" spans="1:11" x14ac:dyDescent="0.3">
      <c r="A71" s="40" t="s">
        <v>97</v>
      </c>
      <c r="B71" s="40" t="s">
        <v>33</v>
      </c>
      <c r="C71" s="40" t="s">
        <v>34</v>
      </c>
      <c r="D71" s="40" t="s">
        <v>35</v>
      </c>
      <c r="E71" s="40" t="s">
        <v>19</v>
      </c>
      <c r="F71" s="41">
        <v>13</v>
      </c>
      <c r="G71" s="42">
        <v>1030.46</v>
      </c>
      <c r="H71" s="42">
        <v>215.98</v>
      </c>
      <c r="I71" s="42">
        <v>159.99</v>
      </c>
      <c r="J71" s="42">
        <v>134.5</v>
      </c>
      <c r="K71" s="40" t="s">
        <v>20</v>
      </c>
    </row>
    <row r="72" spans="1:11" x14ac:dyDescent="0.3">
      <c r="A72" s="40" t="s">
        <v>98</v>
      </c>
      <c r="B72" s="40" t="s">
        <v>12</v>
      </c>
      <c r="C72" s="40" t="s">
        <v>13</v>
      </c>
      <c r="D72" s="40" t="s">
        <v>35</v>
      </c>
      <c r="E72" s="40" t="s">
        <v>19</v>
      </c>
      <c r="F72" s="41">
        <v>1</v>
      </c>
      <c r="G72" s="42">
        <v>78.150000000000006</v>
      </c>
      <c r="H72" s="42">
        <v>15.78</v>
      </c>
      <c r="I72" s="42">
        <v>11.18</v>
      </c>
      <c r="J72" s="42">
        <v>8.15</v>
      </c>
      <c r="K72" s="40" t="s">
        <v>16</v>
      </c>
    </row>
    <row r="73" spans="1:11" x14ac:dyDescent="0.3">
      <c r="A73" s="40" t="s">
        <v>99</v>
      </c>
      <c r="B73" s="40" t="s">
        <v>33</v>
      </c>
      <c r="C73" s="40" t="s">
        <v>34</v>
      </c>
      <c r="D73" s="40" t="s">
        <v>14</v>
      </c>
      <c r="E73" s="40" t="s">
        <v>15</v>
      </c>
      <c r="F73" s="41">
        <v>12</v>
      </c>
      <c r="G73" s="42">
        <v>2151.91</v>
      </c>
      <c r="H73" s="42">
        <v>277.62</v>
      </c>
      <c r="I73" s="42">
        <v>241.26</v>
      </c>
      <c r="J73" s="42">
        <v>258.35000000000002</v>
      </c>
      <c r="K73" s="40" t="s">
        <v>20</v>
      </c>
    </row>
    <row r="74" spans="1:11" x14ac:dyDescent="0.3">
      <c r="A74" s="40" t="s">
        <v>100</v>
      </c>
      <c r="B74" s="40" t="s">
        <v>25</v>
      </c>
      <c r="C74" s="40" t="s">
        <v>26</v>
      </c>
      <c r="D74" s="40" t="s">
        <v>30</v>
      </c>
      <c r="E74" s="40" t="s">
        <v>19</v>
      </c>
      <c r="F74" s="41">
        <v>2</v>
      </c>
      <c r="G74" s="42">
        <v>112.23</v>
      </c>
      <c r="H74" s="42">
        <v>31.68</v>
      </c>
      <c r="I74" s="42">
        <v>16.3</v>
      </c>
      <c r="J74" s="42">
        <v>15.34</v>
      </c>
      <c r="K74" s="40" t="s">
        <v>20</v>
      </c>
    </row>
    <row r="75" spans="1:11" x14ac:dyDescent="0.3">
      <c r="A75" s="40" t="s">
        <v>101</v>
      </c>
      <c r="B75" s="40" t="s">
        <v>12</v>
      </c>
      <c r="C75" s="40" t="s">
        <v>13</v>
      </c>
      <c r="D75" s="40" t="s">
        <v>18</v>
      </c>
      <c r="E75" s="40" t="s">
        <v>19</v>
      </c>
      <c r="F75" s="41">
        <v>8</v>
      </c>
      <c r="G75" s="42">
        <v>1322.22</v>
      </c>
      <c r="H75" s="42">
        <v>269.89</v>
      </c>
      <c r="I75" s="42">
        <v>195</v>
      </c>
      <c r="J75" s="42">
        <v>121.78</v>
      </c>
      <c r="K75" s="40" t="s">
        <v>23</v>
      </c>
    </row>
    <row r="76" spans="1:11" x14ac:dyDescent="0.3">
      <c r="A76" s="40" t="s">
        <v>102</v>
      </c>
      <c r="B76" s="40" t="s">
        <v>25</v>
      </c>
      <c r="C76" s="40" t="s">
        <v>26</v>
      </c>
      <c r="D76" s="40" t="s">
        <v>18</v>
      </c>
      <c r="E76" s="40" t="s">
        <v>19</v>
      </c>
      <c r="F76" s="41">
        <v>2</v>
      </c>
      <c r="G76" s="42">
        <v>308.68</v>
      </c>
      <c r="H76" s="42">
        <v>56.98</v>
      </c>
      <c r="I76" s="42">
        <v>40.119999999999997</v>
      </c>
      <c r="J76" s="42">
        <v>29.11</v>
      </c>
      <c r="K76" s="40" t="s">
        <v>16</v>
      </c>
    </row>
    <row r="77" spans="1:11" x14ac:dyDescent="0.3">
      <c r="A77" s="40" t="s">
        <v>103</v>
      </c>
      <c r="B77" s="40" t="s">
        <v>12</v>
      </c>
      <c r="C77" s="40" t="s">
        <v>13</v>
      </c>
      <c r="D77" s="40" t="s">
        <v>14</v>
      </c>
      <c r="E77" s="40" t="s">
        <v>15</v>
      </c>
      <c r="F77" s="41">
        <v>1</v>
      </c>
      <c r="G77" s="42">
        <v>160.91999999999999</v>
      </c>
      <c r="H77" s="42">
        <v>22.66</v>
      </c>
      <c r="I77" s="42">
        <v>22.65</v>
      </c>
      <c r="J77" s="42">
        <v>20.53</v>
      </c>
      <c r="K77" s="40" t="s">
        <v>16</v>
      </c>
    </row>
    <row r="78" spans="1:11" x14ac:dyDescent="0.3">
      <c r="A78" s="40" t="s">
        <v>104</v>
      </c>
      <c r="B78" s="40" t="s">
        <v>33</v>
      </c>
      <c r="C78" s="40" t="s">
        <v>34</v>
      </c>
      <c r="D78" s="40" t="s">
        <v>14</v>
      </c>
      <c r="E78" s="40" t="s">
        <v>15</v>
      </c>
      <c r="F78" s="41">
        <v>12</v>
      </c>
      <c r="G78" s="42">
        <v>1945.79</v>
      </c>
      <c r="H78" s="42">
        <v>357.73</v>
      </c>
      <c r="I78" s="42">
        <v>267.10000000000002</v>
      </c>
      <c r="J78" s="42">
        <v>290.79000000000002</v>
      </c>
      <c r="K78" s="40" t="s">
        <v>20</v>
      </c>
    </row>
    <row r="79" spans="1:11" x14ac:dyDescent="0.3">
      <c r="A79" s="40" t="s">
        <v>105</v>
      </c>
      <c r="B79" s="40" t="s">
        <v>25</v>
      </c>
      <c r="C79" s="40" t="s">
        <v>26</v>
      </c>
      <c r="D79" s="40" t="s">
        <v>30</v>
      </c>
      <c r="E79" s="40" t="s">
        <v>19</v>
      </c>
      <c r="F79" s="41">
        <v>12</v>
      </c>
      <c r="G79" s="42">
        <v>844.69</v>
      </c>
      <c r="H79" s="42">
        <v>194.86</v>
      </c>
      <c r="I79" s="42">
        <v>130.35</v>
      </c>
      <c r="J79" s="42">
        <v>87.99</v>
      </c>
      <c r="K79" s="40" t="s">
        <v>16</v>
      </c>
    </row>
    <row r="80" spans="1:11" x14ac:dyDescent="0.3">
      <c r="A80" s="40" t="s">
        <v>106</v>
      </c>
      <c r="B80" s="40" t="s">
        <v>33</v>
      </c>
      <c r="C80" s="40" t="s">
        <v>34</v>
      </c>
      <c r="D80" s="40" t="s">
        <v>14</v>
      </c>
      <c r="E80" s="40" t="s">
        <v>15</v>
      </c>
      <c r="F80" s="41">
        <v>2</v>
      </c>
      <c r="G80" s="42">
        <v>350.39</v>
      </c>
      <c r="H80" s="42">
        <v>48.27</v>
      </c>
      <c r="I80" s="42">
        <v>38.14</v>
      </c>
      <c r="J80" s="42">
        <v>53.16</v>
      </c>
      <c r="K80" s="40" t="s">
        <v>20</v>
      </c>
    </row>
    <row r="81" spans="1:11" x14ac:dyDescent="0.3">
      <c r="A81" s="40" t="s">
        <v>107</v>
      </c>
      <c r="B81" s="40" t="s">
        <v>25</v>
      </c>
      <c r="C81" s="40" t="s">
        <v>26</v>
      </c>
      <c r="D81" s="40" t="s">
        <v>35</v>
      </c>
      <c r="E81" s="40" t="s">
        <v>19</v>
      </c>
      <c r="F81" s="41">
        <v>7</v>
      </c>
      <c r="G81" s="42">
        <v>627.89</v>
      </c>
      <c r="H81" s="42">
        <v>117.38</v>
      </c>
      <c r="I81" s="42">
        <v>90.99</v>
      </c>
      <c r="J81" s="42">
        <v>67.45</v>
      </c>
      <c r="K81" s="40" t="s">
        <v>23</v>
      </c>
    </row>
    <row r="82" spans="1:11" x14ac:dyDescent="0.3">
      <c r="A82" s="40" t="s">
        <v>108</v>
      </c>
      <c r="B82" s="40" t="s">
        <v>25</v>
      </c>
      <c r="C82" s="40" t="s">
        <v>26</v>
      </c>
      <c r="D82" s="40" t="s">
        <v>30</v>
      </c>
      <c r="E82" s="40" t="s">
        <v>19</v>
      </c>
      <c r="F82" s="41">
        <v>4</v>
      </c>
      <c r="G82" s="42">
        <v>286.02999999999997</v>
      </c>
      <c r="H82" s="42">
        <v>68.430000000000007</v>
      </c>
      <c r="I82" s="42">
        <v>45.53</v>
      </c>
      <c r="J82" s="42">
        <v>24.68</v>
      </c>
      <c r="K82" s="40" t="s">
        <v>23</v>
      </c>
    </row>
    <row r="83" spans="1:11" x14ac:dyDescent="0.3">
      <c r="A83" s="40" t="s">
        <v>109</v>
      </c>
      <c r="B83" s="40" t="s">
        <v>33</v>
      </c>
      <c r="C83" s="40" t="s">
        <v>34</v>
      </c>
      <c r="D83" s="40" t="s">
        <v>22</v>
      </c>
      <c r="E83" s="40" t="s">
        <v>19</v>
      </c>
      <c r="F83" s="41">
        <v>12</v>
      </c>
      <c r="G83" s="42">
        <v>1468.61</v>
      </c>
      <c r="H83" s="42">
        <v>289.81</v>
      </c>
      <c r="I83" s="42">
        <v>154.63999999999999</v>
      </c>
      <c r="J83" s="42">
        <v>174.97</v>
      </c>
      <c r="K83" s="40" t="s">
        <v>16</v>
      </c>
    </row>
    <row r="84" spans="1:11" x14ac:dyDescent="0.3">
      <c r="A84" s="40" t="s">
        <v>110</v>
      </c>
      <c r="B84" s="40" t="s">
        <v>12</v>
      </c>
      <c r="C84" s="40" t="s">
        <v>13</v>
      </c>
      <c r="D84" s="40" t="s">
        <v>30</v>
      </c>
      <c r="E84" s="40" t="s">
        <v>19</v>
      </c>
      <c r="F84" s="41">
        <v>12</v>
      </c>
      <c r="G84" s="42">
        <v>870.77</v>
      </c>
      <c r="H84" s="42">
        <v>160.46</v>
      </c>
      <c r="I84" s="42">
        <v>101.02</v>
      </c>
      <c r="J84" s="42">
        <v>75.19</v>
      </c>
      <c r="K84" s="40" t="s">
        <v>16</v>
      </c>
    </row>
    <row r="85" spans="1:11" x14ac:dyDescent="0.3">
      <c r="A85" s="40" t="s">
        <v>111</v>
      </c>
      <c r="B85" s="40" t="s">
        <v>25</v>
      </c>
      <c r="C85" s="40" t="s">
        <v>26</v>
      </c>
      <c r="D85" s="40" t="s">
        <v>14</v>
      </c>
      <c r="E85" s="40" t="s">
        <v>15</v>
      </c>
      <c r="F85" s="41">
        <v>1</v>
      </c>
      <c r="G85" s="42">
        <v>161.01</v>
      </c>
      <c r="H85" s="42">
        <v>31.54</v>
      </c>
      <c r="I85" s="42">
        <v>20.57</v>
      </c>
      <c r="J85" s="42">
        <v>21.26</v>
      </c>
      <c r="K85" s="40" t="s">
        <v>20</v>
      </c>
    </row>
    <row r="86" spans="1:11" x14ac:dyDescent="0.3">
      <c r="A86" s="40" t="s">
        <v>112</v>
      </c>
      <c r="B86" s="40" t="s">
        <v>12</v>
      </c>
      <c r="C86" s="40" t="s">
        <v>13</v>
      </c>
      <c r="D86" s="40" t="s">
        <v>22</v>
      </c>
      <c r="E86" s="40" t="s">
        <v>19</v>
      </c>
      <c r="F86" s="41">
        <v>9</v>
      </c>
      <c r="G86" s="42">
        <v>1099.7</v>
      </c>
      <c r="H86" s="42">
        <v>173.82</v>
      </c>
      <c r="I86" s="42">
        <v>140.43</v>
      </c>
      <c r="J86" s="42">
        <v>100.17</v>
      </c>
      <c r="K86" s="40" t="s">
        <v>16</v>
      </c>
    </row>
    <row r="87" spans="1:11" x14ac:dyDescent="0.3">
      <c r="A87" s="40" t="s">
        <v>113</v>
      </c>
      <c r="B87" s="40" t="s">
        <v>25</v>
      </c>
      <c r="C87" s="40" t="s">
        <v>26</v>
      </c>
      <c r="D87" s="40" t="s">
        <v>28</v>
      </c>
      <c r="E87" s="40" t="s">
        <v>19</v>
      </c>
      <c r="F87" s="41">
        <v>8</v>
      </c>
      <c r="G87" s="42">
        <v>1184.56</v>
      </c>
      <c r="H87" s="42">
        <v>214.34</v>
      </c>
      <c r="I87" s="42">
        <v>134.53</v>
      </c>
      <c r="J87" s="42">
        <v>120.95</v>
      </c>
      <c r="K87" s="40" t="s">
        <v>16</v>
      </c>
    </row>
    <row r="88" spans="1:11" x14ac:dyDescent="0.3">
      <c r="A88" s="40" t="s">
        <v>114</v>
      </c>
      <c r="B88" s="40" t="s">
        <v>33</v>
      </c>
      <c r="C88" s="40" t="s">
        <v>34</v>
      </c>
      <c r="D88" s="40" t="s">
        <v>35</v>
      </c>
      <c r="E88" s="40" t="s">
        <v>19</v>
      </c>
      <c r="F88" s="41">
        <v>8</v>
      </c>
      <c r="G88" s="42">
        <v>681.52</v>
      </c>
      <c r="H88" s="42">
        <v>153.29</v>
      </c>
      <c r="I88" s="42">
        <v>87.29</v>
      </c>
      <c r="J88" s="42">
        <v>66.42</v>
      </c>
      <c r="K88" s="40" t="s">
        <v>20</v>
      </c>
    </row>
    <row r="89" spans="1:11" x14ac:dyDescent="0.3">
      <c r="A89" s="40" t="s">
        <v>115</v>
      </c>
      <c r="B89" s="40" t="s">
        <v>25</v>
      </c>
      <c r="C89" s="40" t="s">
        <v>26</v>
      </c>
      <c r="D89" s="40" t="s">
        <v>22</v>
      </c>
      <c r="E89" s="40" t="s">
        <v>19</v>
      </c>
      <c r="F89" s="41">
        <v>14</v>
      </c>
      <c r="G89" s="42">
        <v>1722.1</v>
      </c>
      <c r="H89" s="42">
        <v>315.19</v>
      </c>
      <c r="I89" s="42">
        <v>249.48</v>
      </c>
      <c r="J89" s="42">
        <v>178.38</v>
      </c>
      <c r="K89" s="40" t="s">
        <v>23</v>
      </c>
    </row>
    <row r="90" spans="1:11" x14ac:dyDescent="0.3">
      <c r="A90" s="40" t="s">
        <v>116</v>
      </c>
      <c r="B90" s="40" t="s">
        <v>33</v>
      </c>
      <c r="C90" s="40" t="s">
        <v>34</v>
      </c>
      <c r="D90" s="40" t="s">
        <v>30</v>
      </c>
      <c r="E90" s="40" t="s">
        <v>19</v>
      </c>
      <c r="F90" s="41">
        <v>12</v>
      </c>
      <c r="G90" s="42">
        <v>735.49</v>
      </c>
      <c r="H90" s="42">
        <v>209.02</v>
      </c>
      <c r="I90" s="42">
        <v>102.3</v>
      </c>
      <c r="J90" s="42">
        <v>93.68</v>
      </c>
      <c r="K90" s="40" t="s">
        <v>20</v>
      </c>
    </row>
    <row r="91" spans="1:11" x14ac:dyDescent="0.3">
      <c r="A91" s="40" t="s">
        <v>117</v>
      </c>
      <c r="B91" s="40" t="s">
        <v>25</v>
      </c>
      <c r="C91" s="40" t="s">
        <v>26</v>
      </c>
      <c r="D91" s="40" t="s">
        <v>18</v>
      </c>
      <c r="E91" s="40" t="s">
        <v>19</v>
      </c>
      <c r="F91" s="41">
        <v>2</v>
      </c>
      <c r="G91" s="42">
        <v>324.70999999999998</v>
      </c>
      <c r="H91" s="42">
        <v>54.69</v>
      </c>
      <c r="I91" s="42">
        <v>43.26</v>
      </c>
      <c r="J91" s="42">
        <v>28.67</v>
      </c>
      <c r="K91" s="40" t="s">
        <v>16</v>
      </c>
    </row>
    <row r="92" spans="1:11" x14ac:dyDescent="0.3">
      <c r="A92" s="40" t="s">
        <v>118</v>
      </c>
      <c r="B92" s="40" t="s">
        <v>25</v>
      </c>
      <c r="C92" s="40" t="s">
        <v>26</v>
      </c>
      <c r="D92" s="40" t="s">
        <v>28</v>
      </c>
      <c r="E92" s="40" t="s">
        <v>19</v>
      </c>
      <c r="F92" s="41">
        <v>1</v>
      </c>
      <c r="G92" s="42">
        <v>142.21</v>
      </c>
      <c r="H92" s="42">
        <v>25.92</v>
      </c>
      <c r="I92" s="42">
        <v>18.52</v>
      </c>
      <c r="J92" s="42">
        <v>16.29</v>
      </c>
      <c r="K92" s="40" t="s">
        <v>23</v>
      </c>
    </row>
    <row r="93" spans="1:11" x14ac:dyDescent="0.3">
      <c r="A93" s="40" t="s">
        <v>119</v>
      </c>
      <c r="B93" s="40" t="s">
        <v>33</v>
      </c>
      <c r="C93" s="40" t="s">
        <v>34</v>
      </c>
      <c r="D93" s="40" t="s">
        <v>22</v>
      </c>
      <c r="E93" s="40" t="s">
        <v>19</v>
      </c>
      <c r="F93" s="41">
        <v>2</v>
      </c>
      <c r="G93" s="42">
        <v>222.62</v>
      </c>
      <c r="H93" s="42">
        <v>36.520000000000003</v>
      </c>
      <c r="I93" s="42">
        <v>30.34</v>
      </c>
      <c r="J93" s="42">
        <v>29.28</v>
      </c>
      <c r="K93" s="40" t="s">
        <v>23</v>
      </c>
    </row>
    <row r="94" spans="1:11" x14ac:dyDescent="0.3">
      <c r="A94" s="40" t="s">
        <v>120</v>
      </c>
      <c r="B94" s="40" t="s">
        <v>25</v>
      </c>
      <c r="C94" s="40" t="s">
        <v>26</v>
      </c>
      <c r="D94" s="40" t="s">
        <v>30</v>
      </c>
      <c r="E94" s="40" t="s">
        <v>19</v>
      </c>
      <c r="F94" s="41">
        <v>14</v>
      </c>
      <c r="G94" s="42">
        <v>866.51</v>
      </c>
      <c r="H94" s="42">
        <v>205.58</v>
      </c>
      <c r="I94" s="42">
        <v>145.25</v>
      </c>
      <c r="J94" s="42">
        <v>90.4</v>
      </c>
      <c r="K94" s="40" t="s">
        <v>20</v>
      </c>
    </row>
    <row r="95" spans="1:11" x14ac:dyDescent="0.3">
      <c r="A95" s="40" t="s">
        <v>121</v>
      </c>
      <c r="B95" s="40" t="s">
        <v>25</v>
      </c>
      <c r="C95" s="40" t="s">
        <v>26</v>
      </c>
      <c r="D95" s="40" t="s">
        <v>14</v>
      </c>
      <c r="E95" s="40" t="s">
        <v>15</v>
      </c>
      <c r="F95" s="41">
        <v>6</v>
      </c>
      <c r="G95" s="42">
        <v>992.39</v>
      </c>
      <c r="H95" s="42">
        <v>155.96</v>
      </c>
      <c r="I95" s="42">
        <v>135.71</v>
      </c>
      <c r="J95" s="42">
        <v>125.05</v>
      </c>
      <c r="K95" s="40" t="s">
        <v>23</v>
      </c>
    </row>
    <row r="96" spans="1:11" x14ac:dyDescent="0.3">
      <c r="A96" s="40" t="s">
        <v>122</v>
      </c>
      <c r="B96" s="40" t="s">
        <v>33</v>
      </c>
      <c r="C96" s="40" t="s">
        <v>34</v>
      </c>
      <c r="D96" s="40" t="s">
        <v>35</v>
      </c>
      <c r="E96" s="40" t="s">
        <v>19</v>
      </c>
      <c r="F96" s="41">
        <v>8</v>
      </c>
      <c r="G96" s="42">
        <v>647.41</v>
      </c>
      <c r="H96" s="42">
        <v>148.19</v>
      </c>
      <c r="I96" s="42">
        <v>102.15</v>
      </c>
      <c r="J96" s="42">
        <v>67.209999999999994</v>
      </c>
      <c r="K96" s="40" t="s">
        <v>16</v>
      </c>
    </row>
    <row r="97" spans="1:11" x14ac:dyDescent="0.3">
      <c r="A97" s="40" t="s">
        <v>123</v>
      </c>
      <c r="B97" s="40" t="s">
        <v>33</v>
      </c>
      <c r="C97" s="40" t="s">
        <v>34</v>
      </c>
      <c r="D97" s="40" t="s">
        <v>22</v>
      </c>
      <c r="E97" s="40" t="s">
        <v>19</v>
      </c>
      <c r="F97" s="41">
        <v>9</v>
      </c>
      <c r="G97" s="42">
        <v>990.12</v>
      </c>
      <c r="H97" s="42">
        <v>248.37</v>
      </c>
      <c r="I97" s="42">
        <v>122.12</v>
      </c>
      <c r="J97" s="42">
        <v>103.02</v>
      </c>
      <c r="K97" s="40" t="s">
        <v>20</v>
      </c>
    </row>
    <row r="98" spans="1:11" x14ac:dyDescent="0.3">
      <c r="A98" s="40" t="s">
        <v>124</v>
      </c>
      <c r="B98" s="40" t="s">
        <v>25</v>
      </c>
      <c r="C98" s="40" t="s">
        <v>26</v>
      </c>
      <c r="D98" s="40" t="s">
        <v>30</v>
      </c>
      <c r="E98" s="40" t="s">
        <v>19</v>
      </c>
      <c r="F98" s="41">
        <v>1</v>
      </c>
      <c r="G98" s="42">
        <v>70.47</v>
      </c>
      <c r="H98" s="42">
        <v>12.27</v>
      </c>
      <c r="I98" s="42">
        <v>8.58</v>
      </c>
      <c r="J98" s="42">
        <v>7.08</v>
      </c>
      <c r="K98" s="40" t="s">
        <v>16</v>
      </c>
    </row>
    <row r="99" spans="1:11" x14ac:dyDescent="0.3">
      <c r="A99" s="40" t="s">
        <v>125</v>
      </c>
      <c r="B99" s="40" t="s">
        <v>25</v>
      </c>
      <c r="C99" s="40" t="s">
        <v>26</v>
      </c>
      <c r="D99" s="40" t="s">
        <v>28</v>
      </c>
      <c r="E99" s="40" t="s">
        <v>19</v>
      </c>
      <c r="F99" s="41">
        <v>8</v>
      </c>
      <c r="G99" s="42">
        <v>987.61</v>
      </c>
      <c r="H99" s="42">
        <v>209.4</v>
      </c>
      <c r="I99" s="42">
        <v>130.93</v>
      </c>
      <c r="J99" s="42">
        <v>124.81</v>
      </c>
      <c r="K99" s="40" t="s">
        <v>16</v>
      </c>
    </row>
    <row r="100" spans="1:11" x14ac:dyDescent="0.3">
      <c r="A100" s="40" t="s">
        <v>126</v>
      </c>
      <c r="B100" s="40" t="s">
        <v>25</v>
      </c>
      <c r="C100" s="40" t="s">
        <v>26</v>
      </c>
      <c r="D100" s="40" t="s">
        <v>18</v>
      </c>
      <c r="E100" s="40" t="s">
        <v>19</v>
      </c>
      <c r="F100" s="41">
        <v>14</v>
      </c>
      <c r="G100" s="42">
        <v>1968.03</v>
      </c>
      <c r="H100" s="42">
        <v>460.88</v>
      </c>
      <c r="I100" s="42">
        <v>285.85000000000002</v>
      </c>
      <c r="J100" s="42">
        <v>182.65</v>
      </c>
      <c r="K100" s="40" t="s">
        <v>16</v>
      </c>
    </row>
    <row r="101" spans="1:11" x14ac:dyDescent="0.3">
      <c r="A101" s="40" t="s">
        <v>127</v>
      </c>
      <c r="B101" s="40" t="s">
        <v>25</v>
      </c>
      <c r="C101" s="40" t="s">
        <v>26</v>
      </c>
      <c r="D101" s="40" t="s">
        <v>30</v>
      </c>
      <c r="E101" s="40" t="s">
        <v>19</v>
      </c>
      <c r="F101" s="41">
        <v>6</v>
      </c>
      <c r="G101" s="42">
        <v>401.43</v>
      </c>
      <c r="H101" s="42">
        <v>91.19</v>
      </c>
      <c r="I101" s="42">
        <v>55.79</v>
      </c>
      <c r="J101" s="42">
        <v>42.87</v>
      </c>
      <c r="K101" s="40" t="s">
        <v>23</v>
      </c>
    </row>
    <row r="102" spans="1:11" x14ac:dyDescent="0.3">
      <c r="A102" s="40" t="s">
        <v>128</v>
      </c>
      <c r="B102" s="40" t="s">
        <v>33</v>
      </c>
      <c r="C102" s="40" t="s">
        <v>34</v>
      </c>
      <c r="D102" s="40" t="s">
        <v>18</v>
      </c>
      <c r="E102" s="40" t="s">
        <v>19</v>
      </c>
      <c r="F102" s="41">
        <v>2</v>
      </c>
      <c r="G102" s="42">
        <v>300.58</v>
      </c>
      <c r="H102" s="42">
        <v>75.459999999999994</v>
      </c>
      <c r="I102" s="42">
        <v>49.15</v>
      </c>
      <c r="J102" s="42">
        <v>26.94</v>
      </c>
      <c r="K102" s="40" t="s">
        <v>20</v>
      </c>
    </row>
    <row r="103" spans="1:11" x14ac:dyDescent="0.3">
      <c r="A103" s="40" t="s">
        <v>129</v>
      </c>
      <c r="B103" s="40" t="s">
        <v>25</v>
      </c>
      <c r="C103" s="40" t="s">
        <v>26</v>
      </c>
      <c r="D103" s="40" t="s">
        <v>30</v>
      </c>
      <c r="E103" s="40" t="s">
        <v>19</v>
      </c>
      <c r="F103" s="41">
        <v>8</v>
      </c>
      <c r="G103" s="42">
        <v>511.06</v>
      </c>
      <c r="H103" s="42">
        <v>101.58</v>
      </c>
      <c r="I103" s="42">
        <v>69.92</v>
      </c>
      <c r="J103" s="42">
        <v>50.56</v>
      </c>
      <c r="K103" s="40" t="s">
        <v>20</v>
      </c>
    </row>
    <row r="104" spans="1:11" x14ac:dyDescent="0.3">
      <c r="A104" s="40" t="s">
        <v>130</v>
      </c>
      <c r="B104" s="40" t="s">
        <v>33</v>
      </c>
      <c r="C104" s="40" t="s">
        <v>34</v>
      </c>
      <c r="D104" s="40" t="s">
        <v>35</v>
      </c>
      <c r="E104" s="40" t="s">
        <v>19</v>
      </c>
      <c r="F104" s="41">
        <v>7</v>
      </c>
      <c r="G104" s="42">
        <v>593.65</v>
      </c>
      <c r="H104" s="42">
        <v>114.35</v>
      </c>
      <c r="I104" s="42">
        <v>93</v>
      </c>
      <c r="J104" s="42">
        <v>59.61</v>
      </c>
      <c r="K104" s="40" t="s">
        <v>23</v>
      </c>
    </row>
    <row r="105" spans="1:11" x14ac:dyDescent="0.3">
      <c r="A105" s="40" t="s">
        <v>131</v>
      </c>
      <c r="B105" s="40" t="s">
        <v>12</v>
      </c>
      <c r="C105" s="40" t="s">
        <v>13</v>
      </c>
      <c r="D105" s="40" t="s">
        <v>22</v>
      </c>
      <c r="E105" s="40" t="s">
        <v>19</v>
      </c>
      <c r="F105" s="41">
        <v>9</v>
      </c>
      <c r="G105" s="42">
        <v>1129.42</v>
      </c>
      <c r="H105" s="42">
        <v>164.48</v>
      </c>
      <c r="I105" s="42">
        <v>155.21</v>
      </c>
      <c r="J105" s="42">
        <v>128.66999999999999</v>
      </c>
      <c r="K105" s="40" t="s">
        <v>23</v>
      </c>
    </row>
    <row r="106" spans="1:11" x14ac:dyDescent="0.3">
      <c r="A106" s="40" t="s">
        <v>132</v>
      </c>
      <c r="B106" s="40" t="s">
        <v>12</v>
      </c>
      <c r="C106" s="40" t="s">
        <v>13</v>
      </c>
      <c r="D106" s="40" t="s">
        <v>22</v>
      </c>
      <c r="E106" s="40" t="s">
        <v>19</v>
      </c>
      <c r="F106" s="41">
        <v>4</v>
      </c>
      <c r="G106" s="42">
        <v>443.3</v>
      </c>
      <c r="H106" s="42">
        <v>93.17</v>
      </c>
      <c r="I106" s="42">
        <v>51.25</v>
      </c>
      <c r="J106" s="42">
        <v>47.88</v>
      </c>
      <c r="K106" s="40" t="s">
        <v>16</v>
      </c>
    </row>
    <row r="107" spans="1:11" x14ac:dyDescent="0.3">
      <c r="A107" s="40" t="s">
        <v>133</v>
      </c>
      <c r="B107" s="40" t="s">
        <v>25</v>
      </c>
      <c r="C107" s="40" t="s">
        <v>26</v>
      </c>
      <c r="D107" s="40" t="s">
        <v>35</v>
      </c>
      <c r="E107" s="40" t="s">
        <v>19</v>
      </c>
      <c r="F107" s="41">
        <v>7</v>
      </c>
      <c r="G107" s="42">
        <v>558.55999999999995</v>
      </c>
      <c r="H107" s="42">
        <v>113.67</v>
      </c>
      <c r="I107" s="42">
        <v>88.53</v>
      </c>
      <c r="J107" s="42">
        <v>71.87</v>
      </c>
      <c r="K107" s="40" t="s">
        <v>23</v>
      </c>
    </row>
    <row r="108" spans="1:11" x14ac:dyDescent="0.3">
      <c r="A108" s="40" t="s">
        <v>134</v>
      </c>
      <c r="B108" s="40" t="s">
        <v>33</v>
      </c>
      <c r="C108" s="40" t="s">
        <v>34</v>
      </c>
      <c r="D108" s="40" t="s">
        <v>30</v>
      </c>
      <c r="E108" s="40" t="s">
        <v>19</v>
      </c>
      <c r="F108" s="41">
        <v>14</v>
      </c>
      <c r="G108" s="42">
        <v>1016.61</v>
      </c>
      <c r="H108" s="42">
        <v>212.48</v>
      </c>
      <c r="I108" s="42">
        <v>127.45</v>
      </c>
      <c r="J108" s="42">
        <v>95.08</v>
      </c>
      <c r="K108" s="40" t="s">
        <v>16</v>
      </c>
    </row>
    <row r="109" spans="1:11" x14ac:dyDescent="0.3">
      <c r="A109" s="40" t="s">
        <v>135</v>
      </c>
      <c r="B109" s="40" t="s">
        <v>33</v>
      </c>
      <c r="C109" s="40" t="s">
        <v>34</v>
      </c>
      <c r="D109" s="40" t="s">
        <v>30</v>
      </c>
      <c r="E109" s="40" t="s">
        <v>19</v>
      </c>
      <c r="F109" s="41">
        <v>4</v>
      </c>
      <c r="G109" s="42">
        <v>233.04</v>
      </c>
      <c r="H109" s="42">
        <v>65.39</v>
      </c>
      <c r="I109" s="42">
        <v>33.07</v>
      </c>
      <c r="J109" s="42">
        <v>27.18</v>
      </c>
      <c r="K109" s="40" t="s">
        <v>20</v>
      </c>
    </row>
    <row r="110" spans="1:11" x14ac:dyDescent="0.3">
      <c r="A110" s="40" t="s">
        <v>136</v>
      </c>
      <c r="B110" s="40" t="s">
        <v>12</v>
      </c>
      <c r="C110" s="40" t="s">
        <v>13</v>
      </c>
      <c r="D110" s="40" t="s">
        <v>35</v>
      </c>
      <c r="E110" s="40" t="s">
        <v>19</v>
      </c>
      <c r="F110" s="41">
        <v>5</v>
      </c>
      <c r="G110" s="42">
        <v>426.45</v>
      </c>
      <c r="H110" s="42">
        <v>109.19</v>
      </c>
      <c r="I110" s="42">
        <v>67.760000000000005</v>
      </c>
      <c r="J110" s="42">
        <v>50.46</v>
      </c>
      <c r="K110" s="40" t="s">
        <v>23</v>
      </c>
    </row>
    <row r="111" spans="1:11" x14ac:dyDescent="0.3">
      <c r="A111" s="40" t="s">
        <v>137</v>
      </c>
      <c r="B111" s="40" t="s">
        <v>12</v>
      </c>
      <c r="C111" s="40" t="s">
        <v>13</v>
      </c>
      <c r="D111" s="40" t="s">
        <v>35</v>
      </c>
      <c r="E111" s="40" t="s">
        <v>19</v>
      </c>
      <c r="F111" s="41">
        <v>5</v>
      </c>
      <c r="G111" s="42">
        <v>425.42</v>
      </c>
      <c r="H111" s="42">
        <v>77.819999999999993</v>
      </c>
      <c r="I111" s="42">
        <v>67.180000000000007</v>
      </c>
      <c r="J111" s="42">
        <v>46.58</v>
      </c>
      <c r="K111" s="40" t="s">
        <v>23</v>
      </c>
    </row>
    <row r="112" spans="1:11" x14ac:dyDescent="0.3">
      <c r="A112" s="40" t="s">
        <v>138</v>
      </c>
      <c r="B112" s="40" t="s">
        <v>33</v>
      </c>
      <c r="C112" s="40" t="s">
        <v>34</v>
      </c>
      <c r="D112" s="40" t="s">
        <v>30</v>
      </c>
      <c r="E112" s="40" t="s">
        <v>19</v>
      </c>
      <c r="F112" s="41">
        <v>7</v>
      </c>
      <c r="G112" s="42">
        <v>432.83</v>
      </c>
      <c r="H112" s="42">
        <v>122.08</v>
      </c>
      <c r="I112" s="42">
        <v>80.239999999999995</v>
      </c>
      <c r="J112" s="42">
        <v>48.51</v>
      </c>
      <c r="K112" s="40" t="s">
        <v>23</v>
      </c>
    </row>
    <row r="113" spans="1:11" x14ac:dyDescent="0.3">
      <c r="A113" s="40" t="s">
        <v>139</v>
      </c>
      <c r="B113" s="40" t="s">
        <v>25</v>
      </c>
      <c r="C113" s="40" t="s">
        <v>26</v>
      </c>
      <c r="D113" s="40" t="s">
        <v>28</v>
      </c>
      <c r="E113" s="40" t="s">
        <v>19</v>
      </c>
      <c r="F113" s="41">
        <v>4</v>
      </c>
      <c r="G113" s="42">
        <v>520.29999999999995</v>
      </c>
      <c r="H113" s="42">
        <v>116.2</v>
      </c>
      <c r="I113" s="42">
        <v>61.17</v>
      </c>
      <c r="J113" s="42">
        <v>76.45</v>
      </c>
      <c r="K113" s="40" t="s">
        <v>16</v>
      </c>
    </row>
    <row r="114" spans="1:11" x14ac:dyDescent="0.3">
      <c r="A114" s="40" t="s">
        <v>140</v>
      </c>
      <c r="B114" s="40" t="s">
        <v>33</v>
      </c>
      <c r="C114" s="40" t="s">
        <v>34</v>
      </c>
      <c r="D114" s="40" t="s">
        <v>35</v>
      </c>
      <c r="E114" s="40" t="s">
        <v>19</v>
      </c>
      <c r="F114" s="41">
        <v>8</v>
      </c>
      <c r="G114" s="42">
        <v>696.09</v>
      </c>
      <c r="H114" s="42">
        <v>153.80000000000001</v>
      </c>
      <c r="I114" s="42">
        <v>91.32</v>
      </c>
      <c r="J114" s="42">
        <v>70.319999999999993</v>
      </c>
      <c r="K114" s="40" t="s">
        <v>23</v>
      </c>
    </row>
    <row r="115" spans="1:11" x14ac:dyDescent="0.3">
      <c r="A115" s="40" t="s">
        <v>141</v>
      </c>
      <c r="B115" s="40" t="s">
        <v>25</v>
      </c>
      <c r="C115" s="40" t="s">
        <v>26</v>
      </c>
      <c r="D115" s="40" t="s">
        <v>14</v>
      </c>
      <c r="E115" s="40" t="s">
        <v>15</v>
      </c>
      <c r="F115" s="41">
        <v>2</v>
      </c>
      <c r="G115" s="42">
        <v>291.52</v>
      </c>
      <c r="H115" s="42">
        <v>46.17</v>
      </c>
      <c r="I115" s="42">
        <v>47.21</v>
      </c>
      <c r="J115" s="42">
        <v>51.84</v>
      </c>
      <c r="K115" s="40" t="s">
        <v>16</v>
      </c>
    </row>
    <row r="116" spans="1:11" x14ac:dyDescent="0.3">
      <c r="A116" s="40" t="s">
        <v>142</v>
      </c>
      <c r="B116" s="40" t="s">
        <v>12</v>
      </c>
      <c r="C116" s="40" t="s">
        <v>13</v>
      </c>
      <c r="D116" s="40" t="s">
        <v>35</v>
      </c>
      <c r="E116" s="40" t="s">
        <v>19</v>
      </c>
      <c r="F116" s="41">
        <v>2</v>
      </c>
      <c r="G116" s="42">
        <v>181.18</v>
      </c>
      <c r="H116" s="42">
        <v>38.44</v>
      </c>
      <c r="I116" s="42">
        <v>25.97</v>
      </c>
      <c r="J116" s="42">
        <v>21.46</v>
      </c>
      <c r="K116" s="40" t="s">
        <v>20</v>
      </c>
    </row>
    <row r="117" spans="1:11" x14ac:dyDescent="0.3">
      <c r="A117" s="40" t="s">
        <v>143</v>
      </c>
      <c r="B117" s="40" t="s">
        <v>12</v>
      </c>
      <c r="C117" s="40" t="s">
        <v>13</v>
      </c>
      <c r="D117" s="40" t="s">
        <v>35</v>
      </c>
      <c r="E117" s="40" t="s">
        <v>19</v>
      </c>
      <c r="F117" s="41">
        <v>12</v>
      </c>
      <c r="G117" s="42">
        <v>1000.59</v>
      </c>
      <c r="H117" s="42">
        <v>251.44</v>
      </c>
      <c r="I117" s="42">
        <v>120.25</v>
      </c>
      <c r="J117" s="42">
        <v>118.77</v>
      </c>
      <c r="K117" s="40" t="s">
        <v>20</v>
      </c>
    </row>
    <row r="118" spans="1:11" x14ac:dyDescent="0.3">
      <c r="A118" s="40" t="s">
        <v>144</v>
      </c>
      <c r="B118" s="40" t="s">
        <v>12</v>
      </c>
      <c r="C118" s="40" t="s">
        <v>13</v>
      </c>
      <c r="D118" s="40" t="s">
        <v>35</v>
      </c>
      <c r="E118" s="40" t="s">
        <v>19</v>
      </c>
      <c r="F118" s="41">
        <v>13</v>
      </c>
      <c r="G118" s="42">
        <v>1135.29</v>
      </c>
      <c r="H118" s="42">
        <v>257.83</v>
      </c>
      <c r="I118" s="42">
        <v>165.82</v>
      </c>
      <c r="J118" s="42">
        <v>122.36</v>
      </c>
      <c r="K118" s="40" t="s">
        <v>16</v>
      </c>
    </row>
    <row r="119" spans="1:11" x14ac:dyDescent="0.3">
      <c r="A119" s="40" t="s">
        <v>145</v>
      </c>
      <c r="B119" s="40" t="s">
        <v>33</v>
      </c>
      <c r="C119" s="40" t="s">
        <v>34</v>
      </c>
      <c r="D119" s="40" t="s">
        <v>35</v>
      </c>
      <c r="E119" s="40" t="s">
        <v>19</v>
      </c>
      <c r="F119" s="41">
        <v>13</v>
      </c>
      <c r="G119" s="42">
        <v>991.99</v>
      </c>
      <c r="H119" s="42">
        <v>244.29</v>
      </c>
      <c r="I119" s="42">
        <v>132.18</v>
      </c>
      <c r="J119" s="42">
        <v>111.45</v>
      </c>
      <c r="K119" s="40" t="s">
        <v>23</v>
      </c>
    </row>
    <row r="120" spans="1:11" x14ac:dyDescent="0.3">
      <c r="A120" s="40" t="s">
        <v>146</v>
      </c>
      <c r="B120" s="40" t="s">
        <v>33</v>
      </c>
      <c r="C120" s="40" t="s">
        <v>34</v>
      </c>
      <c r="D120" s="40" t="s">
        <v>22</v>
      </c>
      <c r="E120" s="40" t="s">
        <v>19</v>
      </c>
      <c r="F120" s="41">
        <v>12</v>
      </c>
      <c r="G120" s="42">
        <v>1182.07</v>
      </c>
      <c r="H120" s="42">
        <v>324.07</v>
      </c>
      <c r="I120" s="42">
        <v>149.4</v>
      </c>
      <c r="J120" s="42">
        <v>144.6</v>
      </c>
      <c r="K120" s="40" t="s">
        <v>20</v>
      </c>
    </row>
    <row r="121" spans="1:11" x14ac:dyDescent="0.3">
      <c r="A121" s="40" t="s">
        <v>147</v>
      </c>
      <c r="B121" s="40" t="s">
        <v>12</v>
      </c>
      <c r="C121" s="40" t="s">
        <v>13</v>
      </c>
      <c r="D121" s="40" t="s">
        <v>14</v>
      </c>
      <c r="E121" s="40" t="s">
        <v>15</v>
      </c>
      <c r="F121" s="41">
        <v>12</v>
      </c>
      <c r="G121" s="42">
        <v>1774.09</v>
      </c>
      <c r="H121" s="42">
        <v>365.04</v>
      </c>
      <c r="I121" s="42">
        <v>220.58</v>
      </c>
      <c r="J121" s="42">
        <v>274.31</v>
      </c>
      <c r="K121" s="40" t="s">
        <v>16</v>
      </c>
    </row>
    <row r="122" spans="1:11" x14ac:dyDescent="0.3">
      <c r="A122" s="40" t="s">
        <v>148</v>
      </c>
      <c r="B122" s="40" t="s">
        <v>12</v>
      </c>
      <c r="C122" s="40" t="s">
        <v>13</v>
      </c>
      <c r="D122" s="40" t="s">
        <v>18</v>
      </c>
      <c r="E122" s="40" t="s">
        <v>19</v>
      </c>
      <c r="F122" s="41">
        <v>5</v>
      </c>
      <c r="G122" s="42">
        <v>743.73</v>
      </c>
      <c r="H122" s="42">
        <v>158.72</v>
      </c>
      <c r="I122" s="42">
        <v>91.74</v>
      </c>
      <c r="J122" s="42">
        <v>77.03</v>
      </c>
      <c r="K122" s="40" t="s">
        <v>23</v>
      </c>
    </row>
    <row r="123" spans="1:11" x14ac:dyDescent="0.3">
      <c r="A123" s="40" t="s">
        <v>149</v>
      </c>
      <c r="B123" s="40" t="s">
        <v>25</v>
      </c>
      <c r="C123" s="40" t="s">
        <v>26</v>
      </c>
      <c r="D123" s="40" t="s">
        <v>30</v>
      </c>
      <c r="E123" s="40" t="s">
        <v>19</v>
      </c>
      <c r="F123" s="41">
        <v>10</v>
      </c>
      <c r="G123" s="42">
        <v>584.88</v>
      </c>
      <c r="H123" s="42">
        <v>159.69999999999999</v>
      </c>
      <c r="I123" s="42">
        <v>93.59</v>
      </c>
      <c r="J123" s="42">
        <v>66.459999999999994</v>
      </c>
      <c r="K123" s="40" t="s">
        <v>23</v>
      </c>
    </row>
    <row r="124" spans="1:11" x14ac:dyDescent="0.3">
      <c r="A124" s="40" t="s">
        <v>150</v>
      </c>
      <c r="B124" s="40" t="s">
        <v>12</v>
      </c>
      <c r="C124" s="40" t="s">
        <v>13</v>
      </c>
      <c r="D124" s="40" t="s">
        <v>18</v>
      </c>
      <c r="E124" s="40" t="s">
        <v>19</v>
      </c>
      <c r="F124" s="41">
        <v>11</v>
      </c>
      <c r="G124" s="42">
        <v>1522.51</v>
      </c>
      <c r="H124" s="42">
        <v>286.45</v>
      </c>
      <c r="I124" s="42">
        <v>198.55</v>
      </c>
      <c r="J124" s="42">
        <v>134.37</v>
      </c>
      <c r="K124" s="40" t="s">
        <v>16</v>
      </c>
    </row>
    <row r="125" spans="1:11" x14ac:dyDescent="0.3">
      <c r="A125" s="40" t="s">
        <v>151</v>
      </c>
      <c r="B125" s="40" t="s">
        <v>12</v>
      </c>
      <c r="C125" s="40" t="s">
        <v>13</v>
      </c>
      <c r="D125" s="40" t="s">
        <v>35</v>
      </c>
      <c r="E125" s="40" t="s">
        <v>19</v>
      </c>
      <c r="F125" s="41">
        <v>6</v>
      </c>
      <c r="G125" s="42">
        <v>523.66</v>
      </c>
      <c r="H125" s="42">
        <v>96.76</v>
      </c>
      <c r="I125" s="42">
        <v>69.36</v>
      </c>
      <c r="J125" s="42">
        <v>57.52</v>
      </c>
      <c r="K125" s="40" t="s">
        <v>16</v>
      </c>
    </row>
    <row r="126" spans="1:11" x14ac:dyDescent="0.3">
      <c r="A126" s="40" t="s">
        <v>152</v>
      </c>
      <c r="B126" s="40" t="s">
        <v>12</v>
      </c>
      <c r="C126" s="40" t="s">
        <v>13</v>
      </c>
      <c r="D126" s="40" t="s">
        <v>35</v>
      </c>
      <c r="E126" s="40" t="s">
        <v>19</v>
      </c>
      <c r="F126" s="41">
        <v>14</v>
      </c>
      <c r="G126" s="42">
        <v>1067.71</v>
      </c>
      <c r="H126" s="42">
        <v>246.24</v>
      </c>
      <c r="I126" s="42">
        <v>173.17</v>
      </c>
      <c r="J126" s="42">
        <v>151.32</v>
      </c>
      <c r="K126" s="40" t="s">
        <v>20</v>
      </c>
    </row>
    <row r="127" spans="1:11" x14ac:dyDescent="0.3">
      <c r="A127" s="40" t="s">
        <v>153</v>
      </c>
      <c r="B127" s="40" t="s">
        <v>33</v>
      </c>
      <c r="C127" s="40" t="s">
        <v>34</v>
      </c>
      <c r="D127" s="40" t="s">
        <v>28</v>
      </c>
      <c r="E127" s="40" t="s">
        <v>19</v>
      </c>
      <c r="F127" s="41">
        <v>8</v>
      </c>
      <c r="G127" s="42">
        <v>1040.79</v>
      </c>
      <c r="H127" s="42">
        <v>219.99</v>
      </c>
      <c r="I127" s="42">
        <v>159.34</v>
      </c>
      <c r="J127" s="42">
        <v>146.66999999999999</v>
      </c>
      <c r="K127" s="40" t="s">
        <v>23</v>
      </c>
    </row>
    <row r="128" spans="1:11" x14ac:dyDescent="0.3">
      <c r="A128" s="40" t="s">
        <v>154</v>
      </c>
      <c r="B128" s="40" t="s">
        <v>12</v>
      </c>
      <c r="C128" s="40" t="s">
        <v>13</v>
      </c>
      <c r="D128" s="40" t="s">
        <v>30</v>
      </c>
      <c r="E128" s="40" t="s">
        <v>19</v>
      </c>
      <c r="F128" s="41">
        <v>12</v>
      </c>
      <c r="G128" s="42">
        <v>663.82</v>
      </c>
      <c r="H128" s="42">
        <v>174.45</v>
      </c>
      <c r="I128" s="42">
        <v>129.57</v>
      </c>
      <c r="J128" s="42">
        <v>91.56</v>
      </c>
      <c r="K128" s="40" t="s">
        <v>23</v>
      </c>
    </row>
    <row r="129" spans="1:11" x14ac:dyDescent="0.3">
      <c r="A129" s="40" t="s">
        <v>155</v>
      </c>
      <c r="B129" s="40" t="s">
        <v>12</v>
      </c>
      <c r="C129" s="40" t="s">
        <v>13</v>
      </c>
      <c r="D129" s="40" t="s">
        <v>35</v>
      </c>
      <c r="E129" s="40" t="s">
        <v>19</v>
      </c>
      <c r="F129" s="41">
        <v>8</v>
      </c>
      <c r="G129" s="42">
        <v>692.59</v>
      </c>
      <c r="H129" s="42">
        <v>124.96</v>
      </c>
      <c r="I129" s="42">
        <v>84.49</v>
      </c>
      <c r="J129" s="42">
        <v>80.28</v>
      </c>
      <c r="K129" s="40" t="s">
        <v>23</v>
      </c>
    </row>
    <row r="130" spans="1:11" x14ac:dyDescent="0.3">
      <c r="A130" s="40" t="s">
        <v>156</v>
      </c>
      <c r="B130" s="40" t="s">
        <v>25</v>
      </c>
      <c r="C130" s="40" t="s">
        <v>26</v>
      </c>
      <c r="D130" s="40" t="s">
        <v>28</v>
      </c>
      <c r="E130" s="40" t="s">
        <v>19</v>
      </c>
      <c r="F130" s="41">
        <v>11</v>
      </c>
      <c r="G130" s="42">
        <v>1399.86</v>
      </c>
      <c r="H130" s="42">
        <v>277.72000000000003</v>
      </c>
      <c r="I130" s="42">
        <v>191.02</v>
      </c>
      <c r="J130" s="42">
        <v>179.12</v>
      </c>
      <c r="K130" s="40" t="s">
        <v>16</v>
      </c>
    </row>
    <row r="131" spans="1:11" x14ac:dyDescent="0.3">
      <c r="A131" s="40" t="s">
        <v>157</v>
      </c>
      <c r="B131" s="40" t="s">
        <v>25</v>
      </c>
      <c r="C131" s="40" t="s">
        <v>26</v>
      </c>
      <c r="D131" s="40" t="s">
        <v>18</v>
      </c>
      <c r="E131" s="40" t="s">
        <v>19</v>
      </c>
      <c r="F131" s="41">
        <v>7</v>
      </c>
      <c r="G131" s="42">
        <v>1072.6099999999999</v>
      </c>
      <c r="H131" s="42">
        <v>182.94</v>
      </c>
      <c r="I131" s="42">
        <v>132.35</v>
      </c>
      <c r="J131" s="42">
        <v>105.12</v>
      </c>
      <c r="K131" s="40" t="s">
        <v>20</v>
      </c>
    </row>
    <row r="132" spans="1:11" x14ac:dyDescent="0.3">
      <c r="A132" s="40" t="s">
        <v>158</v>
      </c>
      <c r="B132" s="40" t="s">
        <v>12</v>
      </c>
      <c r="C132" s="40" t="s">
        <v>13</v>
      </c>
      <c r="D132" s="40" t="s">
        <v>35</v>
      </c>
      <c r="E132" s="40" t="s">
        <v>19</v>
      </c>
      <c r="F132" s="41">
        <v>3</v>
      </c>
      <c r="G132" s="42">
        <v>250.4</v>
      </c>
      <c r="H132" s="42">
        <v>49.42</v>
      </c>
      <c r="I132" s="42">
        <v>33.69</v>
      </c>
      <c r="J132" s="42">
        <v>24.7</v>
      </c>
      <c r="K132" s="40" t="s">
        <v>23</v>
      </c>
    </row>
    <row r="133" spans="1:11" x14ac:dyDescent="0.3">
      <c r="A133" s="40" t="s">
        <v>159</v>
      </c>
      <c r="B133" s="40" t="s">
        <v>12</v>
      </c>
      <c r="C133" s="40" t="s">
        <v>13</v>
      </c>
      <c r="D133" s="40" t="s">
        <v>30</v>
      </c>
      <c r="E133" s="40" t="s">
        <v>19</v>
      </c>
      <c r="F133" s="41">
        <v>5</v>
      </c>
      <c r="G133" s="42">
        <v>374.69</v>
      </c>
      <c r="H133" s="42">
        <v>87.18</v>
      </c>
      <c r="I133" s="42">
        <v>49.42</v>
      </c>
      <c r="J133" s="42">
        <v>33.369999999999997</v>
      </c>
      <c r="K133" s="40" t="s">
        <v>23</v>
      </c>
    </row>
    <row r="134" spans="1:11" x14ac:dyDescent="0.3">
      <c r="A134" s="40" t="s">
        <v>160</v>
      </c>
      <c r="B134" s="40" t="s">
        <v>25</v>
      </c>
      <c r="C134" s="40" t="s">
        <v>26</v>
      </c>
      <c r="D134" s="40" t="s">
        <v>22</v>
      </c>
      <c r="E134" s="40" t="s">
        <v>19</v>
      </c>
      <c r="F134" s="41">
        <v>12</v>
      </c>
      <c r="G134" s="42">
        <v>1183.98</v>
      </c>
      <c r="H134" s="42">
        <v>247.79</v>
      </c>
      <c r="I134" s="42">
        <v>205.07</v>
      </c>
      <c r="J134" s="42">
        <v>148.52000000000001</v>
      </c>
      <c r="K134" s="40" t="s">
        <v>20</v>
      </c>
    </row>
    <row r="135" spans="1:11" x14ac:dyDescent="0.3">
      <c r="A135" s="40" t="s">
        <v>161</v>
      </c>
      <c r="B135" s="40" t="s">
        <v>25</v>
      </c>
      <c r="C135" s="40" t="s">
        <v>26</v>
      </c>
      <c r="D135" s="40" t="s">
        <v>14</v>
      </c>
      <c r="E135" s="40" t="s">
        <v>15</v>
      </c>
      <c r="F135" s="41">
        <v>8</v>
      </c>
      <c r="G135" s="42">
        <v>1340.97</v>
      </c>
      <c r="H135" s="42">
        <v>252.42</v>
      </c>
      <c r="I135" s="42">
        <v>188.83</v>
      </c>
      <c r="J135" s="42">
        <v>167.45</v>
      </c>
      <c r="K135" s="40" t="s">
        <v>23</v>
      </c>
    </row>
    <row r="136" spans="1:11" x14ac:dyDescent="0.3">
      <c r="A136" s="40" t="s">
        <v>162</v>
      </c>
      <c r="B136" s="40" t="s">
        <v>25</v>
      </c>
      <c r="C136" s="40" t="s">
        <v>26</v>
      </c>
      <c r="D136" s="40" t="s">
        <v>22</v>
      </c>
      <c r="E136" s="40" t="s">
        <v>19</v>
      </c>
      <c r="F136" s="41">
        <v>11</v>
      </c>
      <c r="G136" s="42">
        <v>1175.46</v>
      </c>
      <c r="H136" s="42">
        <v>277.58999999999997</v>
      </c>
      <c r="I136" s="42">
        <v>197.26</v>
      </c>
      <c r="J136" s="42">
        <v>137.38999999999999</v>
      </c>
      <c r="K136" s="40" t="s">
        <v>16</v>
      </c>
    </row>
    <row r="137" spans="1:11" x14ac:dyDescent="0.3">
      <c r="A137" s="40" t="s">
        <v>163</v>
      </c>
      <c r="B137" s="40" t="s">
        <v>33</v>
      </c>
      <c r="C137" s="40" t="s">
        <v>34</v>
      </c>
      <c r="D137" s="40" t="s">
        <v>18</v>
      </c>
      <c r="E137" s="40" t="s">
        <v>19</v>
      </c>
      <c r="F137" s="41">
        <v>10</v>
      </c>
      <c r="G137" s="42">
        <v>1609.92</v>
      </c>
      <c r="H137" s="42">
        <v>366.32</v>
      </c>
      <c r="I137" s="42">
        <v>217.68</v>
      </c>
      <c r="J137" s="42">
        <v>121.41</v>
      </c>
      <c r="K137" s="40" t="s">
        <v>16</v>
      </c>
    </row>
    <row r="138" spans="1:11" x14ac:dyDescent="0.3">
      <c r="A138" s="40" t="s">
        <v>164</v>
      </c>
      <c r="B138" s="40" t="s">
        <v>25</v>
      </c>
      <c r="C138" s="40" t="s">
        <v>26</v>
      </c>
      <c r="D138" s="40" t="s">
        <v>18</v>
      </c>
      <c r="E138" s="40" t="s">
        <v>19</v>
      </c>
      <c r="F138" s="41">
        <v>2</v>
      </c>
      <c r="G138" s="42">
        <v>289.13</v>
      </c>
      <c r="H138" s="42">
        <v>72.66</v>
      </c>
      <c r="I138" s="42">
        <v>48.24</v>
      </c>
      <c r="J138" s="42">
        <v>29.84</v>
      </c>
      <c r="K138" s="40" t="s">
        <v>16</v>
      </c>
    </row>
    <row r="139" spans="1:11" x14ac:dyDescent="0.3">
      <c r="A139" s="40" t="s">
        <v>165</v>
      </c>
      <c r="B139" s="40" t="s">
        <v>12</v>
      </c>
      <c r="C139" s="40" t="s">
        <v>13</v>
      </c>
      <c r="D139" s="40" t="s">
        <v>35</v>
      </c>
      <c r="E139" s="40" t="s">
        <v>19</v>
      </c>
      <c r="F139" s="41">
        <v>10</v>
      </c>
      <c r="G139" s="42">
        <v>872.61</v>
      </c>
      <c r="H139" s="42">
        <v>194.44</v>
      </c>
      <c r="I139" s="42">
        <v>122.13</v>
      </c>
      <c r="J139" s="42">
        <v>88.53</v>
      </c>
      <c r="K139" s="40" t="s">
        <v>23</v>
      </c>
    </row>
    <row r="140" spans="1:11" x14ac:dyDescent="0.3">
      <c r="A140" s="40" t="s">
        <v>166</v>
      </c>
      <c r="B140" s="40" t="s">
        <v>12</v>
      </c>
      <c r="C140" s="40" t="s">
        <v>13</v>
      </c>
      <c r="D140" s="40" t="s">
        <v>22</v>
      </c>
      <c r="E140" s="40" t="s">
        <v>19</v>
      </c>
      <c r="F140" s="41">
        <v>8</v>
      </c>
      <c r="G140" s="42">
        <v>947.23</v>
      </c>
      <c r="H140" s="42">
        <v>163.51</v>
      </c>
      <c r="I140" s="42">
        <v>139.13</v>
      </c>
      <c r="J140" s="42">
        <v>95.4</v>
      </c>
      <c r="K140" s="40" t="s">
        <v>23</v>
      </c>
    </row>
    <row r="141" spans="1:11" x14ac:dyDescent="0.3">
      <c r="A141" s="40" t="s">
        <v>167</v>
      </c>
      <c r="B141" s="40" t="s">
        <v>12</v>
      </c>
      <c r="C141" s="40" t="s">
        <v>13</v>
      </c>
      <c r="D141" s="40" t="s">
        <v>35</v>
      </c>
      <c r="E141" s="40" t="s">
        <v>19</v>
      </c>
      <c r="F141" s="41">
        <v>11</v>
      </c>
      <c r="G141" s="42">
        <v>1005.08</v>
      </c>
      <c r="H141" s="42">
        <v>190.86</v>
      </c>
      <c r="I141" s="42">
        <v>131.93</v>
      </c>
      <c r="J141" s="42">
        <v>98.08</v>
      </c>
      <c r="K141" s="40" t="s">
        <v>16</v>
      </c>
    </row>
    <row r="142" spans="1:11" x14ac:dyDescent="0.3">
      <c r="A142" s="40" t="s">
        <v>168</v>
      </c>
      <c r="B142" s="40" t="s">
        <v>25</v>
      </c>
      <c r="C142" s="40" t="s">
        <v>26</v>
      </c>
      <c r="D142" s="40" t="s">
        <v>30</v>
      </c>
      <c r="E142" s="40" t="s">
        <v>19</v>
      </c>
      <c r="F142" s="41">
        <v>11</v>
      </c>
      <c r="G142" s="42">
        <v>823</v>
      </c>
      <c r="H142" s="42">
        <v>173.31</v>
      </c>
      <c r="I142" s="42">
        <v>119.1</v>
      </c>
      <c r="J142" s="42">
        <v>86.78</v>
      </c>
      <c r="K142" s="40" t="s">
        <v>23</v>
      </c>
    </row>
    <row r="143" spans="1:11" x14ac:dyDescent="0.3">
      <c r="A143" s="40" t="s">
        <v>169</v>
      </c>
      <c r="B143" s="40" t="s">
        <v>33</v>
      </c>
      <c r="C143" s="40" t="s">
        <v>34</v>
      </c>
      <c r="D143" s="40" t="s">
        <v>30</v>
      </c>
      <c r="E143" s="40" t="s">
        <v>19</v>
      </c>
      <c r="F143" s="41">
        <v>2</v>
      </c>
      <c r="G143" s="42">
        <v>120.18</v>
      </c>
      <c r="H143" s="42">
        <v>28.89</v>
      </c>
      <c r="I143" s="42">
        <v>17.149999999999999</v>
      </c>
      <c r="J143" s="42">
        <v>15.16</v>
      </c>
      <c r="K143" s="40" t="s">
        <v>20</v>
      </c>
    </row>
    <row r="144" spans="1:11" x14ac:dyDescent="0.3">
      <c r="A144" s="40" t="s">
        <v>170</v>
      </c>
      <c r="B144" s="40" t="s">
        <v>25</v>
      </c>
      <c r="C144" s="40" t="s">
        <v>26</v>
      </c>
      <c r="D144" s="40" t="s">
        <v>18</v>
      </c>
      <c r="E144" s="40" t="s">
        <v>19</v>
      </c>
      <c r="F144" s="41">
        <v>10</v>
      </c>
      <c r="G144" s="42">
        <v>1427.62</v>
      </c>
      <c r="H144" s="42">
        <v>256.83</v>
      </c>
      <c r="I144" s="42">
        <v>193.53</v>
      </c>
      <c r="J144" s="42">
        <v>127.4</v>
      </c>
      <c r="K144" s="40" t="s">
        <v>23</v>
      </c>
    </row>
    <row r="145" spans="1:11" x14ac:dyDescent="0.3">
      <c r="A145" s="40" t="s">
        <v>171</v>
      </c>
      <c r="B145" s="40" t="s">
        <v>33</v>
      </c>
      <c r="C145" s="40" t="s">
        <v>34</v>
      </c>
      <c r="D145" s="40" t="s">
        <v>18</v>
      </c>
      <c r="E145" s="40" t="s">
        <v>19</v>
      </c>
      <c r="F145" s="41">
        <v>7</v>
      </c>
      <c r="G145" s="42">
        <v>919.63</v>
      </c>
      <c r="H145" s="42">
        <v>221.45</v>
      </c>
      <c r="I145" s="42">
        <v>150.87</v>
      </c>
      <c r="J145" s="42">
        <v>102.99</v>
      </c>
      <c r="K145" s="40" t="s">
        <v>20</v>
      </c>
    </row>
    <row r="146" spans="1:11" x14ac:dyDescent="0.3">
      <c r="A146" s="40" t="s">
        <v>172</v>
      </c>
      <c r="B146" s="40" t="s">
        <v>33</v>
      </c>
      <c r="C146" s="40" t="s">
        <v>34</v>
      </c>
      <c r="D146" s="40" t="s">
        <v>14</v>
      </c>
      <c r="E146" s="40" t="s">
        <v>15</v>
      </c>
      <c r="F146" s="41">
        <v>10</v>
      </c>
      <c r="G146" s="42">
        <v>1756.55</v>
      </c>
      <c r="H146" s="42">
        <v>300.92</v>
      </c>
      <c r="I146" s="42">
        <v>210.15</v>
      </c>
      <c r="J146" s="42">
        <v>241.58</v>
      </c>
      <c r="K146" s="40" t="s">
        <v>16</v>
      </c>
    </row>
    <row r="147" spans="1:11" x14ac:dyDescent="0.3">
      <c r="A147" s="40" t="s">
        <v>173</v>
      </c>
      <c r="B147" s="40" t="s">
        <v>25</v>
      </c>
      <c r="C147" s="40" t="s">
        <v>26</v>
      </c>
      <c r="D147" s="40" t="s">
        <v>14</v>
      </c>
      <c r="E147" s="40" t="s">
        <v>15</v>
      </c>
      <c r="F147" s="41">
        <v>10</v>
      </c>
      <c r="G147" s="42">
        <v>1608.53</v>
      </c>
      <c r="H147" s="42">
        <v>275.45999999999998</v>
      </c>
      <c r="I147" s="42">
        <v>231.63</v>
      </c>
      <c r="J147" s="42">
        <v>213.04</v>
      </c>
      <c r="K147" s="40" t="s">
        <v>23</v>
      </c>
    </row>
    <row r="148" spans="1:11" x14ac:dyDescent="0.3">
      <c r="A148" s="40" t="s">
        <v>174</v>
      </c>
      <c r="B148" s="40" t="s">
        <v>12</v>
      </c>
      <c r="C148" s="40" t="s">
        <v>13</v>
      </c>
      <c r="D148" s="40" t="s">
        <v>28</v>
      </c>
      <c r="E148" s="40" t="s">
        <v>19</v>
      </c>
      <c r="F148" s="41">
        <v>3</v>
      </c>
      <c r="G148" s="42">
        <v>368.55</v>
      </c>
      <c r="H148" s="42">
        <v>72.92</v>
      </c>
      <c r="I148" s="42">
        <v>45.44</v>
      </c>
      <c r="J148" s="42">
        <v>56.47</v>
      </c>
      <c r="K148" s="40" t="s">
        <v>20</v>
      </c>
    </row>
    <row r="149" spans="1:11" x14ac:dyDescent="0.3">
      <c r="A149" s="40" t="s">
        <v>175</v>
      </c>
      <c r="B149" s="40" t="s">
        <v>33</v>
      </c>
      <c r="C149" s="40" t="s">
        <v>34</v>
      </c>
      <c r="D149" s="40" t="s">
        <v>14</v>
      </c>
      <c r="E149" s="40" t="s">
        <v>15</v>
      </c>
      <c r="F149" s="41">
        <v>13</v>
      </c>
      <c r="G149" s="42">
        <v>1990.89</v>
      </c>
      <c r="H149" s="42">
        <v>377.01</v>
      </c>
      <c r="I149" s="42">
        <v>290.31</v>
      </c>
      <c r="J149" s="42">
        <v>331.27</v>
      </c>
      <c r="K149" s="40" t="s">
        <v>20</v>
      </c>
    </row>
    <row r="150" spans="1:11" x14ac:dyDescent="0.3">
      <c r="A150" s="40" t="s">
        <v>176</v>
      </c>
      <c r="B150" s="40" t="s">
        <v>33</v>
      </c>
      <c r="C150" s="40" t="s">
        <v>34</v>
      </c>
      <c r="D150" s="40" t="s">
        <v>22</v>
      </c>
      <c r="E150" s="40" t="s">
        <v>19</v>
      </c>
      <c r="F150" s="41">
        <v>14</v>
      </c>
      <c r="G150" s="42">
        <v>1806.19</v>
      </c>
      <c r="H150" s="42">
        <v>350.37</v>
      </c>
      <c r="I150" s="42">
        <v>203.09</v>
      </c>
      <c r="J150" s="42">
        <v>209.27</v>
      </c>
      <c r="K150" s="40" t="s">
        <v>16</v>
      </c>
    </row>
    <row r="151" spans="1:11" x14ac:dyDescent="0.3">
      <c r="A151" s="40" t="s">
        <v>177</v>
      </c>
      <c r="B151" s="40" t="s">
        <v>25</v>
      </c>
      <c r="C151" s="40" t="s">
        <v>26</v>
      </c>
      <c r="D151" s="40" t="s">
        <v>14</v>
      </c>
      <c r="E151" s="40" t="s">
        <v>15</v>
      </c>
      <c r="F151" s="41">
        <v>7</v>
      </c>
      <c r="G151" s="42">
        <v>1069.49</v>
      </c>
      <c r="H151" s="42">
        <v>178.99</v>
      </c>
      <c r="I151" s="42">
        <v>162.16999999999999</v>
      </c>
      <c r="J151" s="42">
        <v>192.43</v>
      </c>
      <c r="K151" s="40" t="s">
        <v>23</v>
      </c>
    </row>
    <row r="152" spans="1:11" x14ac:dyDescent="0.3">
      <c r="A152" s="40" t="s">
        <v>178</v>
      </c>
      <c r="B152" s="40" t="s">
        <v>33</v>
      </c>
      <c r="C152" s="40" t="s">
        <v>34</v>
      </c>
      <c r="D152" s="40" t="s">
        <v>28</v>
      </c>
      <c r="E152" s="40" t="s">
        <v>19</v>
      </c>
      <c r="F152" s="41">
        <v>1</v>
      </c>
      <c r="G152" s="42">
        <v>123.26</v>
      </c>
      <c r="H152" s="42">
        <v>26.6</v>
      </c>
      <c r="I152" s="42">
        <v>17.809999999999999</v>
      </c>
      <c r="J152" s="42">
        <v>17.510000000000002</v>
      </c>
      <c r="K152" s="40" t="s">
        <v>16</v>
      </c>
    </row>
    <row r="153" spans="1:11" x14ac:dyDescent="0.3">
      <c r="A153" s="40" t="s">
        <v>179</v>
      </c>
      <c r="B153" s="40" t="s">
        <v>33</v>
      </c>
      <c r="C153" s="40" t="s">
        <v>34</v>
      </c>
      <c r="D153" s="40" t="s">
        <v>22</v>
      </c>
      <c r="E153" s="40" t="s">
        <v>19</v>
      </c>
      <c r="F153" s="41">
        <v>2</v>
      </c>
      <c r="G153" s="42">
        <v>232.52</v>
      </c>
      <c r="H153" s="42">
        <v>39.72</v>
      </c>
      <c r="I153" s="42">
        <v>27.58</v>
      </c>
      <c r="J153" s="42">
        <v>28.86</v>
      </c>
      <c r="K153" s="40" t="s">
        <v>23</v>
      </c>
    </row>
    <row r="154" spans="1:11" x14ac:dyDescent="0.3">
      <c r="A154" s="40" t="s">
        <v>180</v>
      </c>
      <c r="B154" s="40" t="s">
        <v>12</v>
      </c>
      <c r="C154" s="40" t="s">
        <v>13</v>
      </c>
      <c r="D154" s="40" t="s">
        <v>30</v>
      </c>
      <c r="E154" s="40" t="s">
        <v>19</v>
      </c>
      <c r="F154" s="41">
        <v>9</v>
      </c>
      <c r="G154" s="42">
        <v>519.91</v>
      </c>
      <c r="H154" s="42">
        <v>139.72999999999999</v>
      </c>
      <c r="I154" s="42">
        <v>93.91</v>
      </c>
      <c r="J154" s="42">
        <v>69.790000000000006</v>
      </c>
      <c r="K154" s="40" t="s">
        <v>23</v>
      </c>
    </row>
    <row r="155" spans="1:11" x14ac:dyDescent="0.3">
      <c r="A155" s="40" t="s">
        <v>181</v>
      </c>
      <c r="B155" s="40" t="s">
        <v>25</v>
      </c>
      <c r="C155" s="40" t="s">
        <v>26</v>
      </c>
      <c r="D155" s="40" t="s">
        <v>18</v>
      </c>
      <c r="E155" s="40" t="s">
        <v>19</v>
      </c>
      <c r="F155" s="41">
        <v>9</v>
      </c>
      <c r="G155" s="42">
        <v>1370.01</v>
      </c>
      <c r="H155" s="42">
        <v>236.27</v>
      </c>
      <c r="I155" s="42">
        <v>181.01</v>
      </c>
      <c r="J155" s="42">
        <v>131.05000000000001</v>
      </c>
      <c r="K155" s="40" t="s">
        <v>20</v>
      </c>
    </row>
    <row r="156" spans="1:11" x14ac:dyDescent="0.3">
      <c r="A156" s="40" t="s">
        <v>182</v>
      </c>
      <c r="B156" s="40" t="s">
        <v>33</v>
      </c>
      <c r="C156" s="40" t="s">
        <v>34</v>
      </c>
      <c r="D156" s="40" t="s">
        <v>22</v>
      </c>
      <c r="E156" s="40" t="s">
        <v>19</v>
      </c>
      <c r="F156" s="41">
        <v>5</v>
      </c>
      <c r="G156" s="42">
        <v>519.79999999999995</v>
      </c>
      <c r="H156" s="42">
        <v>91.05</v>
      </c>
      <c r="I156" s="42">
        <v>88.5</v>
      </c>
      <c r="J156" s="42">
        <v>73.569999999999993</v>
      </c>
      <c r="K156" s="40" t="s">
        <v>16</v>
      </c>
    </row>
    <row r="157" spans="1:11" x14ac:dyDescent="0.3">
      <c r="A157" s="40" t="s">
        <v>183</v>
      </c>
      <c r="B157" s="40" t="s">
        <v>33</v>
      </c>
      <c r="C157" s="40" t="s">
        <v>34</v>
      </c>
      <c r="D157" s="40" t="s">
        <v>28</v>
      </c>
      <c r="E157" s="40" t="s">
        <v>19</v>
      </c>
      <c r="F157" s="41">
        <v>2</v>
      </c>
      <c r="G157" s="42">
        <v>292.18</v>
      </c>
      <c r="H157" s="42">
        <v>44.98</v>
      </c>
      <c r="I157" s="42">
        <v>33.92</v>
      </c>
      <c r="J157" s="42">
        <v>37.26</v>
      </c>
      <c r="K157" s="40" t="s">
        <v>23</v>
      </c>
    </row>
    <row r="158" spans="1:11" x14ac:dyDescent="0.3">
      <c r="A158" s="40" t="s">
        <v>184</v>
      </c>
      <c r="B158" s="40" t="s">
        <v>12</v>
      </c>
      <c r="C158" s="40" t="s">
        <v>13</v>
      </c>
      <c r="D158" s="40" t="s">
        <v>28</v>
      </c>
      <c r="E158" s="40" t="s">
        <v>19</v>
      </c>
      <c r="F158" s="41">
        <v>11</v>
      </c>
      <c r="G158" s="42">
        <v>1395.88</v>
      </c>
      <c r="H158" s="42">
        <v>301.98</v>
      </c>
      <c r="I158" s="42">
        <v>177.72</v>
      </c>
      <c r="J158" s="42">
        <v>204.71</v>
      </c>
      <c r="K158" s="40" t="s">
        <v>20</v>
      </c>
    </row>
    <row r="159" spans="1:11" x14ac:dyDescent="0.3">
      <c r="A159" s="40" t="s">
        <v>185</v>
      </c>
      <c r="B159" s="40" t="s">
        <v>12</v>
      </c>
      <c r="C159" s="40" t="s">
        <v>13</v>
      </c>
      <c r="D159" s="40" t="s">
        <v>22</v>
      </c>
      <c r="E159" s="40" t="s">
        <v>19</v>
      </c>
      <c r="F159" s="41">
        <v>14</v>
      </c>
      <c r="G159" s="42">
        <v>1396.44</v>
      </c>
      <c r="H159" s="42">
        <v>259.5</v>
      </c>
      <c r="I159" s="42">
        <v>196.4</v>
      </c>
      <c r="J159" s="42">
        <v>199.17</v>
      </c>
      <c r="K159" s="40" t="s">
        <v>23</v>
      </c>
    </row>
    <row r="160" spans="1:11" x14ac:dyDescent="0.3">
      <c r="A160" s="40" t="s">
        <v>186</v>
      </c>
      <c r="B160" s="40" t="s">
        <v>12</v>
      </c>
      <c r="C160" s="40" t="s">
        <v>13</v>
      </c>
      <c r="D160" s="40" t="s">
        <v>18</v>
      </c>
      <c r="E160" s="40" t="s">
        <v>19</v>
      </c>
      <c r="F160" s="41">
        <v>14</v>
      </c>
      <c r="G160" s="42">
        <v>1960.61</v>
      </c>
      <c r="H160" s="42">
        <v>494.78</v>
      </c>
      <c r="I160" s="42">
        <v>286.02999999999997</v>
      </c>
      <c r="J160" s="42">
        <v>200.17</v>
      </c>
      <c r="K160" s="40" t="s">
        <v>23</v>
      </c>
    </row>
    <row r="161" spans="1:11" x14ac:dyDescent="0.3">
      <c r="A161" s="40" t="s">
        <v>187</v>
      </c>
      <c r="B161" s="40" t="s">
        <v>25</v>
      </c>
      <c r="C161" s="40" t="s">
        <v>26</v>
      </c>
      <c r="D161" s="40" t="s">
        <v>28</v>
      </c>
      <c r="E161" s="40" t="s">
        <v>19</v>
      </c>
      <c r="F161" s="41">
        <v>13</v>
      </c>
      <c r="G161" s="42">
        <v>1881.9</v>
      </c>
      <c r="H161" s="42">
        <v>282.18</v>
      </c>
      <c r="I161" s="42">
        <v>205.39</v>
      </c>
      <c r="J161" s="42">
        <v>248.49</v>
      </c>
      <c r="K161" s="40" t="s">
        <v>16</v>
      </c>
    </row>
    <row r="162" spans="1:11" x14ac:dyDescent="0.3">
      <c r="A162" s="40" t="s">
        <v>188</v>
      </c>
      <c r="B162" s="40" t="s">
        <v>33</v>
      </c>
      <c r="C162" s="40" t="s">
        <v>34</v>
      </c>
      <c r="D162" s="40" t="s">
        <v>28</v>
      </c>
      <c r="E162" s="40" t="s">
        <v>19</v>
      </c>
      <c r="F162" s="41">
        <v>5</v>
      </c>
      <c r="G162" s="42">
        <v>646.03</v>
      </c>
      <c r="H162" s="42">
        <v>122.84</v>
      </c>
      <c r="I162" s="42">
        <v>86.06</v>
      </c>
      <c r="J162" s="42">
        <v>76.31</v>
      </c>
      <c r="K162" s="40" t="s">
        <v>20</v>
      </c>
    </row>
    <row r="163" spans="1:11" x14ac:dyDescent="0.3">
      <c r="A163" s="40" t="s">
        <v>189</v>
      </c>
      <c r="B163" s="40" t="s">
        <v>12</v>
      </c>
      <c r="C163" s="40" t="s">
        <v>13</v>
      </c>
      <c r="D163" s="40" t="s">
        <v>28</v>
      </c>
      <c r="E163" s="40" t="s">
        <v>19</v>
      </c>
      <c r="F163" s="41">
        <v>10</v>
      </c>
      <c r="G163" s="42">
        <v>1536.33</v>
      </c>
      <c r="H163" s="42">
        <v>251.02</v>
      </c>
      <c r="I163" s="42">
        <v>156.33000000000001</v>
      </c>
      <c r="J163" s="42">
        <v>198.32</v>
      </c>
      <c r="K163" s="40" t="s">
        <v>23</v>
      </c>
    </row>
    <row r="164" spans="1:11" x14ac:dyDescent="0.3">
      <c r="A164" s="40" t="s">
        <v>190</v>
      </c>
      <c r="B164" s="40" t="s">
        <v>12</v>
      </c>
      <c r="C164" s="40" t="s">
        <v>13</v>
      </c>
      <c r="D164" s="40" t="s">
        <v>18</v>
      </c>
      <c r="E164" s="40" t="s">
        <v>19</v>
      </c>
      <c r="F164" s="41">
        <v>3</v>
      </c>
      <c r="G164" s="42">
        <v>401.76</v>
      </c>
      <c r="H164" s="42">
        <v>85.32</v>
      </c>
      <c r="I164" s="42">
        <v>73.13</v>
      </c>
      <c r="J164" s="42">
        <v>47.66</v>
      </c>
      <c r="K164" s="40" t="s">
        <v>23</v>
      </c>
    </row>
    <row r="165" spans="1:11" x14ac:dyDescent="0.3">
      <c r="A165" s="40" t="s">
        <v>191</v>
      </c>
      <c r="B165" s="40" t="s">
        <v>33</v>
      </c>
      <c r="C165" s="40" t="s">
        <v>34</v>
      </c>
      <c r="D165" s="40" t="s">
        <v>28</v>
      </c>
      <c r="E165" s="40" t="s">
        <v>19</v>
      </c>
      <c r="F165" s="41">
        <v>8</v>
      </c>
      <c r="G165" s="42">
        <v>1052.56</v>
      </c>
      <c r="H165" s="42">
        <v>178.58</v>
      </c>
      <c r="I165" s="42">
        <v>150.32</v>
      </c>
      <c r="J165" s="42">
        <v>147.13999999999999</v>
      </c>
      <c r="K165" s="40" t="s">
        <v>23</v>
      </c>
    </row>
    <row r="166" spans="1:11" x14ac:dyDescent="0.3">
      <c r="A166" s="40" t="s">
        <v>192</v>
      </c>
      <c r="B166" s="40" t="s">
        <v>12</v>
      </c>
      <c r="C166" s="40" t="s">
        <v>13</v>
      </c>
      <c r="D166" s="40" t="s">
        <v>35</v>
      </c>
      <c r="E166" s="40" t="s">
        <v>19</v>
      </c>
      <c r="F166" s="41">
        <v>5</v>
      </c>
      <c r="G166" s="42">
        <v>396.78</v>
      </c>
      <c r="H166" s="42">
        <v>75.13</v>
      </c>
      <c r="I166" s="42">
        <v>57.95</v>
      </c>
      <c r="J166" s="42">
        <v>45.99</v>
      </c>
      <c r="K166" s="40" t="s">
        <v>16</v>
      </c>
    </row>
    <row r="167" spans="1:11" x14ac:dyDescent="0.3">
      <c r="A167" s="40" t="s">
        <v>193</v>
      </c>
      <c r="B167" s="40" t="s">
        <v>33</v>
      </c>
      <c r="C167" s="40" t="s">
        <v>34</v>
      </c>
      <c r="D167" s="40" t="s">
        <v>14</v>
      </c>
      <c r="E167" s="40" t="s">
        <v>15</v>
      </c>
      <c r="F167" s="41">
        <v>12</v>
      </c>
      <c r="G167" s="42">
        <v>2137.23</v>
      </c>
      <c r="H167" s="42">
        <v>353.67</v>
      </c>
      <c r="I167" s="42">
        <v>275.3</v>
      </c>
      <c r="J167" s="42">
        <v>302.47000000000003</v>
      </c>
      <c r="K167" s="40" t="s">
        <v>20</v>
      </c>
    </row>
    <row r="168" spans="1:11" x14ac:dyDescent="0.3">
      <c r="A168" s="40" t="s">
        <v>194</v>
      </c>
      <c r="B168" s="40" t="s">
        <v>25</v>
      </c>
      <c r="C168" s="40" t="s">
        <v>26</v>
      </c>
      <c r="D168" s="40" t="s">
        <v>18</v>
      </c>
      <c r="E168" s="40" t="s">
        <v>19</v>
      </c>
      <c r="F168" s="41">
        <v>12</v>
      </c>
      <c r="G168" s="42">
        <v>1897.41</v>
      </c>
      <c r="H168" s="42">
        <v>410.67</v>
      </c>
      <c r="I168" s="42">
        <v>282.93</v>
      </c>
      <c r="J168" s="42">
        <v>175.27</v>
      </c>
      <c r="K168" s="40" t="s">
        <v>16</v>
      </c>
    </row>
    <row r="169" spans="1:11" x14ac:dyDescent="0.3">
      <c r="A169" s="40" t="s">
        <v>195</v>
      </c>
      <c r="B169" s="40" t="s">
        <v>33</v>
      </c>
      <c r="C169" s="40" t="s">
        <v>34</v>
      </c>
      <c r="D169" s="40" t="s">
        <v>30</v>
      </c>
      <c r="E169" s="40" t="s">
        <v>19</v>
      </c>
      <c r="F169" s="41">
        <v>2</v>
      </c>
      <c r="G169" s="42">
        <v>137.76</v>
      </c>
      <c r="H169" s="42">
        <v>32.58</v>
      </c>
      <c r="I169" s="42">
        <v>18.739999999999998</v>
      </c>
      <c r="J169" s="42">
        <v>15.3</v>
      </c>
      <c r="K169" s="40" t="s">
        <v>23</v>
      </c>
    </row>
    <row r="170" spans="1:11" x14ac:dyDescent="0.3">
      <c r="A170" s="40" t="s">
        <v>196</v>
      </c>
      <c r="B170" s="40" t="s">
        <v>25</v>
      </c>
      <c r="C170" s="40" t="s">
        <v>26</v>
      </c>
      <c r="D170" s="40" t="s">
        <v>28</v>
      </c>
      <c r="E170" s="40" t="s">
        <v>19</v>
      </c>
      <c r="F170" s="41">
        <v>13</v>
      </c>
      <c r="G170" s="42">
        <v>1906.66</v>
      </c>
      <c r="H170" s="42">
        <v>346.71</v>
      </c>
      <c r="I170" s="42">
        <v>211.47</v>
      </c>
      <c r="J170" s="42">
        <v>214.15</v>
      </c>
      <c r="K170" s="40" t="s">
        <v>16</v>
      </c>
    </row>
    <row r="171" spans="1:11" x14ac:dyDescent="0.3">
      <c r="A171" s="40" t="s">
        <v>197</v>
      </c>
      <c r="B171" s="40" t="s">
        <v>33</v>
      </c>
      <c r="C171" s="40" t="s">
        <v>34</v>
      </c>
      <c r="D171" s="40" t="s">
        <v>30</v>
      </c>
      <c r="E171" s="40" t="s">
        <v>19</v>
      </c>
      <c r="F171" s="41">
        <v>5</v>
      </c>
      <c r="G171" s="42">
        <v>275.2</v>
      </c>
      <c r="H171" s="42">
        <v>61.38</v>
      </c>
      <c r="I171" s="42">
        <v>51.71</v>
      </c>
      <c r="J171" s="42">
        <v>33.909999999999997</v>
      </c>
      <c r="K171" s="40" t="s">
        <v>16</v>
      </c>
    </row>
    <row r="172" spans="1:11" x14ac:dyDescent="0.3">
      <c r="A172" s="40" t="s">
        <v>198</v>
      </c>
      <c r="B172" s="40" t="s">
        <v>33</v>
      </c>
      <c r="C172" s="40" t="s">
        <v>34</v>
      </c>
      <c r="D172" s="40" t="s">
        <v>30</v>
      </c>
      <c r="E172" s="40" t="s">
        <v>19</v>
      </c>
      <c r="F172" s="41">
        <v>14</v>
      </c>
      <c r="G172" s="42">
        <v>1042.22</v>
      </c>
      <c r="H172" s="42">
        <v>202.56</v>
      </c>
      <c r="I172" s="42">
        <v>121.05</v>
      </c>
      <c r="J172" s="42">
        <v>88.06</v>
      </c>
      <c r="K172" s="40" t="s">
        <v>16</v>
      </c>
    </row>
    <row r="173" spans="1:11" x14ac:dyDescent="0.3">
      <c r="A173" s="40" t="s">
        <v>199</v>
      </c>
      <c r="B173" s="40" t="s">
        <v>12</v>
      </c>
      <c r="C173" s="40" t="s">
        <v>13</v>
      </c>
      <c r="D173" s="40" t="s">
        <v>30</v>
      </c>
      <c r="E173" s="40" t="s">
        <v>19</v>
      </c>
      <c r="F173" s="41">
        <v>8</v>
      </c>
      <c r="G173" s="42">
        <v>518.36</v>
      </c>
      <c r="H173" s="42">
        <v>139.21</v>
      </c>
      <c r="I173" s="42">
        <v>66.260000000000005</v>
      </c>
      <c r="J173" s="42">
        <v>60.67</v>
      </c>
      <c r="K173" s="40" t="s">
        <v>20</v>
      </c>
    </row>
    <row r="174" spans="1:11" x14ac:dyDescent="0.3">
      <c r="A174" s="40" t="s">
        <v>200</v>
      </c>
      <c r="B174" s="40" t="s">
        <v>33</v>
      </c>
      <c r="C174" s="40" t="s">
        <v>34</v>
      </c>
      <c r="D174" s="40" t="s">
        <v>30</v>
      </c>
      <c r="E174" s="40" t="s">
        <v>19</v>
      </c>
      <c r="F174" s="41">
        <v>14</v>
      </c>
      <c r="G174" s="42">
        <v>1045.22</v>
      </c>
      <c r="H174" s="42">
        <v>229.15</v>
      </c>
      <c r="I174" s="42">
        <v>121.3</v>
      </c>
      <c r="J174" s="42">
        <v>91.54</v>
      </c>
      <c r="K174" s="40" t="s">
        <v>20</v>
      </c>
    </row>
    <row r="175" spans="1:11" x14ac:dyDescent="0.3">
      <c r="A175" s="40" t="s">
        <v>201</v>
      </c>
      <c r="B175" s="40" t="s">
        <v>33</v>
      </c>
      <c r="C175" s="40" t="s">
        <v>34</v>
      </c>
      <c r="D175" s="40" t="s">
        <v>14</v>
      </c>
      <c r="E175" s="40" t="s">
        <v>15</v>
      </c>
      <c r="F175" s="41">
        <v>3</v>
      </c>
      <c r="G175" s="42">
        <v>422.46</v>
      </c>
      <c r="H175" s="42">
        <v>86.64</v>
      </c>
      <c r="I175" s="42">
        <v>64.22</v>
      </c>
      <c r="J175" s="42">
        <v>77.239999999999995</v>
      </c>
      <c r="K175" s="40" t="s">
        <v>16</v>
      </c>
    </row>
    <row r="176" spans="1:11" x14ac:dyDescent="0.3">
      <c r="A176" s="40" t="s">
        <v>202</v>
      </c>
      <c r="B176" s="40" t="s">
        <v>33</v>
      </c>
      <c r="C176" s="40" t="s">
        <v>34</v>
      </c>
      <c r="D176" s="40" t="s">
        <v>18</v>
      </c>
      <c r="E176" s="40" t="s">
        <v>19</v>
      </c>
      <c r="F176" s="41">
        <v>11</v>
      </c>
      <c r="G176" s="42">
        <v>1787.3</v>
      </c>
      <c r="H176" s="42">
        <v>368.19</v>
      </c>
      <c r="I176" s="42">
        <v>210.43</v>
      </c>
      <c r="J176" s="42">
        <v>175.27</v>
      </c>
      <c r="K176" s="40" t="s">
        <v>20</v>
      </c>
    </row>
    <row r="177" spans="1:11" x14ac:dyDescent="0.3">
      <c r="A177" s="40" t="s">
        <v>203</v>
      </c>
      <c r="B177" s="40" t="s">
        <v>12</v>
      </c>
      <c r="C177" s="40" t="s">
        <v>13</v>
      </c>
      <c r="D177" s="40" t="s">
        <v>28</v>
      </c>
      <c r="E177" s="40" t="s">
        <v>19</v>
      </c>
      <c r="F177" s="41">
        <v>14</v>
      </c>
      <c r="G177" s="42">
        <v>2006.24</v>
      </c>
      <c r="H177" s="42">
        <v>289.67</v>
      </c>
      <c r="I177" s="42">
        <v>216.81</v>
      </c>
      <c r="J177" s="42">
        <v>217.84</v>
      </c>
      <c r="K177" s="40" t="s">
        <v>16</v>
      </c>
    </row>
    <row r="178" spans="1:11" x14ac:dyDescent="0.3">
      <c r="A178" s="40" t="s">
        <v>204</v>
      </c>
      <c r="B178" s="40" t="s">
        <v>33</v>
      </c>
      <c r="C178" s="40" t="s">
        <v>34</v>
      </c>
      <c r="D178" s="40" t="s">
        <v>35</v>
      </c>
      <c r="E178" s="40" t="s">
        <v>19</v>
      </c>
      <c r="F178" s="41">
        <v>9</v>
      </c>
      <c r="G178" s="42">
        <v>800.61</v>
      </c>
      <c r="H178" s="42">
        <v>164.48</v>
      </c>
      <c r="I178" s="42">
        <v>100.51</v>
      </c>
      <c r="J178" s="42">
        <v>95.07</v>
      </c>
      <c r="K178" s="40" t="s">
        <v>20</v>
      </c>
    </row>
    <row r="179" spans="1:11" x14ac:dyDescent="0.3">
      <c r="A179" s="40" t="s">
        <v>205</v>
      </c>
      <c r="B179" s="40" t="s">
        <v>25</v>
      </c>
      <c r="C179" s="40" t="s">
        <v>26</v>
      </c>
      <c r="D179" s="40" t="s">
        <v>35</v>
      </c>
      <c r="E179" s="40" t="s">
        <v>19</v>
      </c>
      <c r="F179" s="41">
        <v>9</v>
      </c>
      <c r="G179" s="42">
        <v>839.56</v>
      </c>
      <c r="H179" s="42">
        <v>195.1</v>
      </c>
      <c r="I179" s="42">
        <v>123.4</v>
      </c>
      <c r="J179" s="42">
        <v>76.430000000000007</v>
      </c>
      <c r="K179" s="40" t="s">
        <v>23</v>
      </c>
    </row>
    <row r="180" spans="1:11" x14ac:dyDescent="0.3">
      <c r="A180" s="40" t="s">
        <v>206</v>
      </c>
      <c r="B180" s="40" t="s">
        <v>25</v>
      </c>
      <c r="C180" s="40" t="s">
        <v>26</v>
      </c>
      <c r="D180" s="40" t="s">
        <v>22</v>
      </c>
      <c r="E180" s="40" t="s">
        <v>19</v>
      </c>
      <c r="F180" s="41">
        <v>2</v>
      </c>
      <c r="G180" s="42">
        <v>199.01</v>
      </c>
      <c r="H180" s="42">
        <v>50.23</v>
      </c>
      <c r="I180" s="42">
        <v>35.43</v>
      </c>
      <c r="J180" s="42">
        <v>27.59</v>
      </c>
      <c r="K180" s="40" t="s">
        <v>23</v>
      </c>
    </row>
    <row r="181" spans="1:11" x14ac:dyDescent="0.3">
      <c r="A181" s="40" t="s">
        <v>207</v>
      </c>
      <c r="B181" s="40" t="s">
        <v>25</v>
      </c>
      <c r="C181" s="40" t="s">
        <v>26</v>
      </c>
      <c r="D181" s="40" t="s">
        <v>28</v>
      </c>
      <c r="E181" s="40" t="s">
        <v>19</v>
      </c>
      <c r="F181" s="41">
        <v>5</v>
      </c>
      <c r="G181" s="42">
        <v>625.75</v>
      </c>
      <c r="H181" s="42">
        <v>125.14</v>
      </c>
      <c r="I181" s="42">
        <v>89.48</v>
      </c>
      <c r="J181" s="42">
        <v>82.91</v>
      </c>
      <c r="K181" s="40" t="s">
        <v>20</v>
      </c>
    </row>
    <row r="182" spans="1:11" x14ac:dyDescent="0.3">
      <c r="A182" s="40" t="s">
        <v>208</v>
      </c>
      <c r="B182" s="40" t="s">
        <v>25</v>
      </c>
      <c r="C182" s="40" t="s">
        <v>26</v>
      </c>
      <c r="D182" s="40" t="s">
        <v>28</v>
      </c>
      <c r="E182" s="40" t="s">
        <v>19</v>
      </c>
      <c r="F182" s="41">
        <v>13</v>
      </c>
      <c r="G182" s="42">
        <v>1933.22</v>
      </c>
      <c r="H182" s="42">
        <v>281.83999999999997</v>
      </c>
      <c r="I182" s="42">
        <v>246.18</v>
      </c>
      <c r="J182" s="42">
        <v>232.79</v>
      </c>
      <c r="K182" s="40" t="s">
        <v>20</v>
      </c>
    </row>
    <row r="183" spans="1:11" x14ac:dyDescent="0.3">
      <c r="A183" s="40" t="s">
        <v>209</v>
      </c>
      <c r="B183" s="40" t="s">
        <v>25</v>
      </c>
      <c r="C183" s="40" t="s">
        <v>26</v>
      </c>
      <c r="D183" s="40" t="s">
        <v>14</v>
      </c>
      <c r="E183" s="40" t="s">
        <v>15</v>
      </c>
      <c r="F183" s="41">
        <v>7</v>
      </c>
      <c r="G183" s="42">
        <v>1145.04</v>
      </c>
      <c r="H183" s="42">
        <v>162.79</v>
      </c>
      <c r="I183" s="42">
        <v>160.49</v>
      </c>
      <c r="J183" s="42">
        <v>154.54</v>
      </c>
      <c r="K183" s="40" t="s">
        <v>23</v>
      </c>
    </row>
    <row r="184" spans="1:11" x14ac:dyDescent="0.3">
      <c r="A184" s="40" t="s">
        <v>210</v>
      </c>
      <c r="B184" s="40" t="s">
        <v>12</v>
      </c>
      <c r="C184" s="40" t="s">
        <v>13</v>
      </c>
      <c r="D184" s="40" t="s">
        <v>35</v>
      </c>
      <c r="E184" s="40" t="s">
        <v>19</v>
      </c>
      <c r="F184" s="41">
        <v>1</v>
      </c>
      <c r="G184" s="42">
        <v>91.57</v>
      </c>
      <c r="H184" s="42">
        <v>21.11</v>
      </c>
      <c r="I184" s="42">
        <v>12.76</v>
      </c>
      <c r="J184" s="42">
        <v>10.46</v>
      </c>
      <c r="K184" s="40" t="s">
        <v>16</v>
      </c>
    </row>
    <row r="185" spans="1:11" x14ac:dyDescent="0.3">
      <c r="A185" s="40" t="s">
        <v>211</v>
      </c>
      <c r="B185" s="40" t="s">
        <v>33</v>
      </c>
      <c r="C185" s="40" t="s">
        <v>34</v>
      </c>
      <c r="D185" s="40" t="s">
        <v>18</v>
      </c>
      <c r="E185" s="40" t="s">
        <v>19</v>
      </c>
      <c r="F185" s="41">
        <v>10</v>
      </c>
      <c r="G185" s="42">
        <v>1313.82</v>
      </c>
      <c r="H185" s="42">
        <v>312.75</v>
      </c>
      <c r="I185" s="42">
        <v>227.11</v>
      </c>
      <c r="J185" s="42">
        <v>157.43</v>
      </c>
      <c r="K185" s="40" t="s">
        <v>16</v>
      </c>
    </row>
    <row r="186" spans="1:11" x14ac:dyDescent="0.3">
      <c r="A186" s="40" t="s">
        <v>212</v>
      </c>
      <c r="B186" s="40" t="s">
        <v>33</v>
      </c>
      <c r="C186" s="40" t="s">
        <v>34</v>
      </c>
      <c r="D186" s="40" t="s">
        <v>14</v>
      </c>
      <c r="E186" s="40" t="s">
        <v>15</v>
      </c>
      <c r="F186" s="41">
        <v>12</v>
      </c>
      <c r="G186" s="42">
        <v>1835.42</v>
      </c>
      <c r="H186" s="42">
        <v>277.14999999999998</v>
      </c>
      <c r="I186" s="42">
        <v>274.2</v>
      </c>
      <c r="J186" s="42">
        <v>334.22</v>
      </c>
      <c r="K186" s="40" t="s">
        <v>16</v>
      </c>
    </row>
    <row r="187" spans="1:11" x14ac:dyDescent="0.3">
      <c r="A187" s="40" t="s">
        <v>213</v>
      </c>
      <c r="B187" s="40" t="s">
        <v>33</v>
      </c>
      <c r="C187" s="40" t="s">
        <v>34</v>
      </c>
      <c r="D187" s="40" t="s">
        <v>14</v>
      </c>
      <c r="E187" s="40" t="s">
        <v>15</v>
      </c>
      <c r="F187" s="41">
        <v>12</v>
      </c>
      <c r="G187" s="42">
        <v>2137.15</v>
      </c>
      <c r="H187" s="42">
        <v>322.08</v>
      </c>
      <c r="I187" s="42">
        <v>245.1</v>
      </c>
      <c r="J187" s="42">
        <v>291.45999999999998</v>
      </c>
      <c r="K187" s="40" t="s">
        <v>16</v>
      </c>
    </row>
    <row r="188" spans="1:11" x14ac:dyDescent="0.3">
      <c r="A188" s="40" t="s">
        <v>214</v>
      </c>
      <c r="B188" s="40" t="s">
        <v>12</v>
      </c>
      <c r="C188" s="40" t="s">
        <v>13</v>
      </c>
      <c r="D188" s="40" t="s">
        <v>35</v>
      </c>
      <c r="E188" s="40" t="s">
        <v>19</v>
      </c>
      <c r="F188" s="41">
        <v>10</v>
      </c>
      <c r="G188" s="42">
        <v>913.47</v>
      </c>
      <c r="H188" s="42">
        <v>179.06</v>
      </c>
      <c r="I188" s="42">
        <v>121.34</v>
      </c>
      <c r="J188" s="42">
        <v>106.44</v>
      </c>
      <c r="K188" s="40" t="s">
        <v>23</v>
      </c>
    </row>
    <row r="189" spans="1:11" x14ac:dyDescent="0.3">
      <c r="A189" s="40" t="s">
        <v>215</v>
      </c>
      <c r="B189" s="40" t="s">
        <v>33</v>
      </c>
      <c r="C189" s="40" t="s">
        <v>34</v>
      </c>
      <c r="D189" s="40" t="s">
        <v>30</v>
      </c>
      <c r="E189" s="40" t="s">
        <v>19</v>
      </c>
      <c r="F189" s="41">
        <v>2</v>
      </c>
      <c r="G189" s="42">
        <v>148.25</v>
      </c>
      <c r="H189" s="42">
        <v>27.48</v>
      </c>
      <c r="I189" s="42">
        <v>20.28</v>
      </c>
      <c r="J189" s="42">
        <v>14.01</v>
      </c>
      <c r="K189" s="40" t="s">
        <v>20</v>
      </c>
    </row>
    <row r="190" spans="1:11" x14ac:dyDescent="0.3">
      <c r="A190" s="40" t="s">
        <v>216</v>
      </c>
      <c r="B190" s="40" t="s">
        <v>12</v>
      </c>
      <c r="C190" s="40" t="s">
        <v>13</v>
      </c>
      <c r="D190" s="40" t="s">
        <v>35</v>
      </c>
      <c r="E190" s="40" t="s">
        <v>19</v>
      </c>
      <c r="F190" s="41">
        <v>6</v>
      </c>
      <c r="G190" s="42">
        <v>455.67</v>
      </c>
      <c r="H190" s="42">
        <v>114.1</v>
      </c>
      <c r="I190" s="42">
        <v>72.27</v>
      </c>
      <c r="J190" s="42">
        <v>58.55</v>
      </c>
      <c r="K190" s="40" t="s">
        <v>23</v>
      </c>
    </row>
    <row r="191" spans="1:11" x14ac:dyDescent="0.3">
      <c r="A191" s="40" t="s">
        <v>217</v>
      </c>
      <c r="B191" s="40" t="s">
        <v>33</v>
      </c>
      <c r="C191" s="40" t="s">
        <v>34</v>
      </c>
      <c r="D191" s="40" t="s">
        <v>28</v>
      </c>
      <c r="E191" s="40" t="s">
        <v>19</v>
      </c>
      <c r="F191" s="41">
        <v>11</v>
      </c>
      <c r="G191" s="42">
        <v>1665.11</v>
      </c>
      <c r="H191" s="42">
        <v>254.15</v>
      </c>
      <c r="I191" s="42">
        <v>210.82</v>
      </c>
      <c r="J191" s="42">
        <v>193.85</v>
      </c>
      <c r="K191" s="40" t="s">
        <v>16</v>
      </c>
    </row>
    <row r="192" spans="1:11" x14ac:dyDescent="0.3">
      <c r="A192" s="40" t="s">
        <v>218</v>
      </c>
      <c r="B192" s="40" t="s">
        <v>33</v>
      </c>
      <c r="C192" s="40" t="s">
        <v>34</v>
      </c>
      <c r="D192" s="40" t="s">
        <v>30</v>
      </c>
      <c r="E192" s="40" t="s">
        <v>19</v>
      </c>
      <c r="F192" s="41">
        <v>14</v>
      </c>
      <c r="G192" s="42">
        <v>770.53</v>
      </c>
      <c r="H192" s="42">
        <v>220.18</v>
      </c>
      <c r="I192" s="42">
        <v>147.6</v>
      </c>
      <c r="J192" s="42">
        <v>95.54</v>
      </c>
      <c r="K192" s="40" t="s">
        <v>23</v>
      </c>
    </row>
    <row r="193" spans="1:11" x14ac:dyDescent="0.3">
      <c r="A193" s="40" t="s">
        <v>219</v>
      </c>
      <c r="B193" s="40" t="s">
        <v>12</v>
      </c>
      <c r="C193" s="40" t="s">
        <v>13</v>
      </c>
      <c r="D193" s="40" t="s">
        <v>18</v>
      </c>
      <c r="E193" s="40" t="s">
        <v>19</v>
      </c>
      <c r="F193" s="41">
        <v>8</v>
      </c>
      <c r="G193" s="42">
        <v>1336.01</v>
      </c>
      <c r="H193" s="42">
        <v>221.4</v>
      </c>
      <c r="I193" s="42">
        <v>161.91999999999999</v>
      </c>
      <c r="J193" s="42">
        <v>113.46</v>
      </c>
      <c r="K193" s="40" t="s">
        <v>23</v>
      </c>
    </row>
    <row r="194" spans="1:11" x14ac:dyDescent="0.3">
      <c r="A194" s="40" t="s">
        <v>220</v>
      </c>
      <c r="B194" s="40" t="s">
        <v>25</v>
      </c>
      <c r="C194" s="40" t="s">
        <v>26</v>
      </c>
      <c r="D194" s="40" t="s">
        <v>18</v>
      </c>
      <c r="E194" s="40" t="s">
        <v>19</v>
      </c>
      <c r="F194" s="41">
        <v>10</v>
      </c>
      <c r="G194" s="42">
        <v>1667.78</v>
      </c>
      <c r="H194" s="42">
        <v>359.48</v>
      </c>
      <c r="I194" s="42">
        <v>183.64</v>
      </c>
      <c r="J194" s="42">
        <v>157.04</v>
      </c>
      <c r="K194" s="40" t="s">
        <v>20</v>
      </c>
    </row>
    <row r="195" spans="1:11" x14ac:dyDescent="0.3">
      <c r="A195" s="40" t="s">
        <v>221</v>
      </c>
      <c r="B195" s="40" t="s">
        <v>33</v>
      </c>
      <c r="C195" s="40" t="s">
        <v>34</v>
      </c>
      <c r="D195" s="40" t="s">
        <v>35</v>
      </c>
      <c r="E195" s="40" t="s">
        <v>19</v>
      </c>
      <c r="F195" s="41">
        <v>5</v>
      </c>
      <c r="G195" s="42">
        <v>411.65</v>
      </c>
      <c r="H195" s="42">
        <v>106.02</v>
      </c>
      <c r="I195" s="42">
        <v>55.29</v>
      </c>
      <c r="J195" s="42">
        <v>51.35</v>
      </c>
      <c r="K195" s="40" t="s">
        <v>20</v>
      </c>
    </row>
    <row r="196" spans="1:11" x14ac:dyDescent="0.3">
      <c r="A196" s="40" t="s">
        <v>222</v>
      </c>
      <c r="B196" s="40" t="s">
        <v>12</v>
      </c>
      <c r="C196" s="40" t="s">
        <v>13</v>
      </c>
      <c r="D196" s="40" t="s">
        <v>14</v>
      </c>
      <c r="E196" s="40" t="s">
        <v>15</v>
      </c>
      <c r="F196" s="41">
        <v>14</v>
      </c>
      <c r="G196" s="42">
        <v>2121.42</v>
      </c>
      <c r="H196" s="42">
        <v>416.07</v>
      </c>
      <c r="I196" s="42">
        <v>264.97000000000003</v>
      </c>
      <c r="J196" s="42">
        <v>385.74</v>
      </c>
      <c r="K196" s="40" t="s">
        <v>20</v>
      </c>
    </row>
    <row r="197" spans="1:11" x14ac:dyDescent="0.3">
      <c r="A197" s="40" t="s">
        <v>223</v>
      </c>
      <c r="B197" s="40" t="s">
        <v>33</v>
      </c>
      <c r="C197" s="40" t="s">
        <v>34</v>
      </c>
      <c r="D197" s="40" t="s">
        <v>35</v>
      </c>
      <c r="E197" s="40" t="s">
        <v>19</v>
      </c>
      <c r="F197" s="41">
        <v>2</v>
      </c>
      <c r="G197" s="42">
        <v>183.89</v>
      </c>
      <c r="H197" s="42">
        <v>37.159999999999997</v>
      </c>
      <c r="I197" s="42">
        <v>21.49</v>
      </c>
      <c r="J197" s="42">
        <v>19.59</v>
      </c>
      <c r="K197" s="40" t="s">
        <v>16</v>
      </c>
    </row>
    <row r="198" spans="1:11" x14ac:dyDescent="0.3">
      <c r="A198" s="40" t="s">
        <v>224</v>
      </c>
      <c r="B198" s="40" t="s">
        <v>25</v>
      </c>
      <c r="C198" s="40" t="s">
        <v>26</v>
      </c>
      <c r="D198" s="40" t="s">
        <v>30</v>
      </c>
      <c r="E198" s="40" t="s">
        <v>19</v>
      </c>
      <c r="F198" s="41">
        <v>10</v>
      </c>
      <c r="G198" s="42">
        <v>719.31</v>
      </c>
      <c r="H198" s="42">
        <v>131.74</v>
      </c>
      <c r="I198" s="42">
        <v>103.49</v>
      </c>
      <c r="J198" s="42">
        <v>70.66</v>
      </c>
      <c r="K198" s="40" t="s">
        <v>20</v>
      </c>
    </row>
    <row r="199" spans="1:11" x14ac:dyDescent="0.3">
      <c r="A199" s="40" t="s">
        <v>225</v>
      </c>
      <c r="B199" s="40" t="s">
        <v>12</v>
      </c>
      <c r="C199" s="40" t="s">
        <v>13</v>
      </c>
      <c r="D199" s="40" t="s">
        <v>14</v>
      </c>
      <c r="E199" s="40" t="s">
        <v>15</v>
      </c>
      <c r="F199" s="41">
        <v>6</v>
      </c>
      <c r="G199" s="42">
        <v>895.25</v>
      </c>
      <c r="H199" s="42">
        <v>161.54</v>
      </c>
      <c r="I199" s="42">
        <v>138.74</v>
      </c>
      <c r="J199" s="42">
        <v>156.63</v>
      </c>
      <c r="K199" s="40" t="s">
        <v>16</v>
      </c>
    </row>
    <row r="200" spans="1:11" x14ac:dyDescent="0.3">
      <c r="A200" s="40" t="s">
        <v>226</v>
      </c>
      <c r="B200" s="40" t="s">
        <v>25</v>
      </c>
      <c r="C200" s="40" t="s">
        <v>26</v>
      </c>
      <c r="D200" s="40" t="s">
        <v>14</v>
      </c>
      <c r="E200" s="40" t="s">
        <v>15</v>
      </c>
      <c r="F200" s="41">
        <v>11</v>
      </c>
      <c r="G200" s="42">
        <v>1796.37</v>
      </c>
      <c r="H200" s="42">
        <v>258.33</v>
      </c>
      <c r="I200" s="42">
        <v>214.2</v>
      </c>
      <c r="J200" s="42">
        <v>220.76</v>
      </c>
      <c r="K200" s="40" t="s">
        <v>20</v>
      </c>
    </row>
    <row r="201" spans="1:11" x14ac:dyDescent="0.3">
      <c r="A201" s="40" t="s">
        <v>227</v>
      </c>
      <c r="B201" s="40" t="s">
        <v>12</v>
      </c>
      <c r="C201" s="40" t="s">
        <v>13</v>
      </c>
      <c r="D201" s="40" t="s">
        <v>18</v>
      </c>
      <c r="E201" s="40" t="s">
        <v>19</v>
      </c>
      <c r="F201" s="41">
        <v>12</v>
      </c>
      <c r="G201" s="42">
        <v>1861.9</v>
      </c>
      <c r="H201" s="42">
        <v>376.21</v>
      </c>
      <c r="I201" s="42">
        <v>240.21</v>
      </c>
      <c r="J201" s="42">
        <v>153.19999999999999</v>
      </c>
      <c r="K201" s="40" t="s">
        <v>16</v>
      </c>
    </row>
    <row r="202" spans="1:11" x14ac:dyDescent="0.3">
      <c r="A202" s="40" t="s">
        <v>228</v>
      </c>
      <c r="B202" s="40" t="s">
        <v>12</v>
      </c>
      <c r="C202" s="40" t="s">
        <v>13</v>
      </c>
      <c r="D202" s="40" t="s">
        <v>14</v>
      </c>
      <c r="E202" s="40" t="s">
        <v>15</v>
      </c>
      <c r="F202" s="41">
        <v>7</v>
      </c>
      <c r="G202" s="42">
        <v>1185.76</v>
      </c>
      <c r="H202" s="42">
        <v>218.09</v>
      </c>
      <c r="I202" s="42">
        <v>137.47999999999999</v>
      </c>
      <c r="J202" s="42">
        <v>192.52</v>
      </c>
      <c r="K202" s="40" t="s">
        <v>20</v>
      </c>
    </row>
    <row r="203" spans="1:11" x14ac:dyDescent="0.3">
      <c r="A203" s="40" t="s">
        <v>229</v>
      </c>
      <c r="B203" s="40" t="s">
        <v>33</v>
      </c>
      <c r="C203" s="40" t="s">
        <v>34</v>
      </c>
      <c r="D203" s="40" t="s">
        <v>22</v>
      </c>
      <c r="E203" s="40" t="s">
        <v>19</v>
      </c>
      <c r="F203" s="41">
        <v>3</v>
      </c>
      <c r="G203" s="42">
        <v>327.7</v>
      </c>
      <c r="H203" s="42">
        <v>66.31</v>
      </c>
      <c r="I203" s="42">
        <v>49.65</v>
      </c>
      <c r="J203" s="42">
        <v>33.909999999999997</v>
      </c>
      <c r="K203" s="40" t="s">
        <v>20</v>
      </c>
    </row>
    <row r="204" spans="1:11" x14ac:dyDescent="0.3">
      <c r="A204" s="40" t="s">
        <v>230</v>
      </c>
      <c r="B204" s="40" t="s">
        <v>25</v>
      </c>
      <c r="C204" s="40" t="s">
        <v>26</v>
      </c>
      <c r="D204" s="40" t="s">
        <v>18</v>
      </c>
      <c r="E204" s="40" t="s">
        <v>19</v>
      </c>
      <c r="F204" s="41">
        <v>4</v>
      </c>
      <c r="G204" s="42">
        <v>646.62</v>
      </c>
      <c r="H204" s="42">
        <v>101.67</v>
      </c>
      <c r="I204" s="42">
        <v>73.83</v>
      </c>
      <c r="J204" s="42">
        <v>50.19</v>
      </c>
      <c r="K204" s="40" t="s">
        <v>16</v>
      </c>
    </row>
    <row r="205" spans="1:11" x14ac:dyDescent="0.3">
      <c r="A205" s="40" t="s">
        <v>231</v>
      </c>
      <c r="B205" s="40" t="s">
        <v>12</v>
      </c>
      <c r="C205" s="40" t="s">
        <v>13</v>
      </c>
      <c r="D205" s="40" t="s">
        <v>14</v>
      </c>
      <c r="E205" s="40" t="s">
        <v>15</v>
      </c>
      <c r="F205" s="41">
        <v>10</v>
      </c>
      <c r="G205" s="42">
        <v>1470.64</v>
      </c>
      <c r="H205" s="42">
        <v>261.79000000000002</v>
      </c>
      <c r="I205" s="42">
        <v>227</v>
      </c>
      <c r="J205" s="42">
        <v>268.51</v>
      </c>
      <c r="K205" s="40" t="s">
        <v>20</v>
      </c>
    </row>
    <row r="206" spans="1:11" x14ac:dyDescent="0.3">
      <c r="A206" s="40" t="s">
        <v>232</v>
      </c>
      <c r="B206" s="40" t="s">
        <v>25</v>
      </c>
      <c r="C206" s="40" t="s">
        <v>26</v>
      </c>
      <c r="D206" s="40" t="s">
        <v>22</v>
      </c>
      <c r="E206" s="40" t="s">
        <v>19</v>
      </c>
      <c r="F206" s="41">
        <v>14</v>
      </c>
      <c r="G206" s="42">
        <v>1570.37</v>
      </c>
      <c r="H206" s="42">
        <v>291.64</v>
      </c>
      <c r="I206" s="42">
        <v>190.36</v>
      </c>
      <c r="J206" s="42">
        <v>191.64</v>
      </c>
      <c r="K206" s="40" t="s">
        <v>20</v>
      </c>
    </row>
    <row r="207" spans="1:11" x14ac:dyDescent="0.3">
      <c r="A207" s="40" t="s">
        <v>233</v>
      </c>
      <c r="B207" s="40" t="s">
        <v>12</v>
      </c>
      <c r="C207" s="40" t="s">
        <v>13</v>
      </c>
      <c r="D207" s="40" t="s">
        <v>18</v>
      </c>
      <c r="E207" s="40" t="s">
        <v>19</v>
      </c>
      <c r="F207" s="41">
        <v>10</v>
      </c>
      <c r="G207" s="42">
        <v>1620.83</v>
      </c>
      <c r="H207" s="42">
        <v>369.77</v>
      </c>
      <c r="I207" s="42">
        <v>189.34</v>
      </c>
      <c r="J207" s="42">
        <v>129.01</v>
      </c>
      <c r="K207" s="40" t="s">
        <v>16</v>
      </c>
    </row>
    <row r="208" spans="1:11" x14ac:dyDescent="0.3">
      <c r="A208" s="40" t="s">
        <v>234</v>
      </c>
      <c r="B208" s="40" t="s">
        <v>33</v>
      </c>
      <c r="C208" s="40" t="s">
        <v>34</v>
      </c>
      <c r="D208" s="40" t="s">
        <v>35</v>
      </c>
      <c r="E208" s="40" t="s">
        <v>19</v>
      </c>
      <c r="F208" s="41">
        <v>9</v>
      </c>
      <c r="G208" s="42">
        <v>822.72</v>
      </c>
      <c r="H208" s="42">
        <v>179.35</v>
      </c>
      <c r="I208" s="42">
        <v>117.73</v>
      </c>
      <c r="J208" s="42">
        <v>95.22</v>
      </c>
      <c r="K208" s="40" t="s">
        <v>20</v>
      </c>
    </row>
    <row r="209" spans="1:11" x14ac:dyDescent="0.3">
      <c r="A209" s="40" t="s">
        <v>235</v>
      </c>
      <c r="B209" s="40" t="s">
        <v>33</v>
      </c>
      <c r="C209" s="40" t="s">
        <v>34</v>
      </c>
      <c r="D209" s="40" t="s">
        <v>35</v>
      </c>
      <c r="E209" s="40" t="s">
        <v>19</v>
      </c>
      <c r="F209" s="41">
        <v>11</v>
      </c>
      <c r="G209" s="42">
        <v>912.2</v>
      </c>
      <c r="H209" s="42">
        <v>209.72</v>
      </c>
      <c r="I209" s="42">
        <v>146.41999999999999</v>
      </c>
      <c r="J209" s="42">
        <v>92.09</v>
      </c>
      <c r="K209" s="40" t="s">
        <v>23</v>
      </c>
    </row>
    <row r="210" spans="1:11" x14ac:dyDescent="0.3">
      <c r="A210" s="40" t="s">
        <v>236</v>
      </c>
      <c r="B210" s="40" t="s">
        <v>25</v>
      </c>
      <c r="C210" s="40" t="s">
        <v>26</v>
      </c>
      <c r="D210" s="40" t="s">
        <v>18</v>
      </c>
      <c r="E210" s="40" t="s">
        <v>19</v>
      </c>
      <c r="F210" s="41">
        <v>6</v>
      </c>
      <c r="G210" s="42">
        <v>784.79</v>
      </c>
      <c r="H210" s="42">
        <v>195.22</v>
      </c>
      <c r="I210" s="42">
        <v>138.33000000000001</v>
      </c>
      <c r="J210" s="42">
        <v>78.41</v>
      </c>
      <c r="K210" s="40" t="s">
        <v>16</v>
      </c>
    </row>
    <row r="211" spans="1:11" x14ac:dyDescent="0.3">
      <c r="A211" s="40" t="s">
        <v>237</v>
      </c>
      <c r="B211" s="40" t="s">
        <v>33</v>
      </c>
      <c r="C211" s="40" t="s">
        <v>34</v>
      </c>
      <c r="D211" s="40" t="s">
        <v>14</v>
      </c>
      <c r="E211" s="40" t="s">
        <v>15</v>
      </c>
      <c r="F211" s="41">
        <v>12</v>
      </c>
      <c r="G211" s="42">
        <v>1834.92</v>
      </c>
      <c r="H211" s="42">
        <v>300.79000000000002</v>
      </c>
      <c r="I211" s="42">
        <v>225.78</v>
      </c>
      <c r="J211" s="42">
        <v>311.37</v>
      </c>
      <c r="K211" s="40" t="s">
        <v>16</v>
      </c>
    </row>
    <row r="212" spans="1:11" x14ac:dyDescent="0.3">
      <c r="A212" s="40" t="s">
        <v>238</v>
      </c>
      <c r="B212" s="40" t="s">
        <v>12</v>
      </c>
      <c r="C212" s="40" t="s">
        <v>13</v>
      </c>
      <c r="D212" s="40" t="s">
        <v>35</v>
      </c>
      <c r="E212" s="40" t="s">
        <v>19</v>
      </c>
      <c r="F212" s="41">
        <v>12</v>
      </c>
      <c r="G212" s="42">
        <v>1038.42</v>
      </c>
      <c r="H212" s="42">
        <v>217.42</v>
      </c>
      <c r="I212" s="42">
        <v>144.79</v>
      </c>
      <c r="J212" s="42">
        <v>121.54</v>
      </c>
      <c r="K212" s="40" t="s">
        <v>16</v>
      </c>
    </row>
    <row r="213" spans="1:11" x14ac:dyDescent="0.3">
      <c r="A213" s="40" t="s">
        <v>239</v>
      </c>
      <c r="B213" s="40" t="s">
        <v>33</v>
      </c>
      <c r="C213" s="40" t="s">
        <v>34</v>
      </c>
      <c r="D213" s="40" t="s">
        <v>22</v>
      </c>
      <c r="E213" s="40" t="s">
        <v>19</v>
      </c>
      <c r="F213" s="41">
        <v>1</v>
      </c>
      <c r="G213" s="42">
        <v>101.81</v>
      </c>
      <c r="H213" s="42">
        <v>20.59</v>
      </c>
      <c r="I213" s="42">
        <v>15.46</v>
      </c>
      <c r="J213" s="42">
        <v>13.1</v>
      </c>
      <c r="K213" s="40" t="s">
        <v>23</v>
      </c>
    </row>
    <row r="214" spans="1:11" x14ac:dyDescent="0.3">
      <c r="A214" s="40" t="s">
        <v>240</v>
      </c>
      <c r="B214" s="40" t="s">
        <v>33</v>
      </c>
      <c r="C214" s="40" t="s">
        <v>34</v>
      </c>
      <c r="D214" s="40" t="s">
        <v>35</v>
      </c>
      <c r="E214" s="40" t="s">
        <v>19</v>
      </c>
      <c r="F214" s="41">
        <v>9</v>
      </c>
      <c r="G214" s="42">
        <v>716.27</v>
      </c>
      <c r="H214" s="42">
        <v>140.44999999999999</v>
      </c>
      <c r="I214" s="42">
        <v>118.71</v>
      </c>
      <c r="J214" s="42">
        <v>78.849999999999994</v>
      </c>
      <c r="K214" s="40" t="s">
        <v>23</v>
      </c>
    </row>
    <row r="215" spans="1:11" x14ac:dyDescent="0.3">
      <c r="A215" s="40" t="s">
        <v>241</v>
      </c>
      <c r="B215" s="40" t="s">
        <v>25</v>
      </c>
      <c r="C215" s="40" t="s">
        <v>26</v>
      </c>
      <c r="D215" s="40" t="s">
        <v>22</v>
      </c>
      <c r="E215" s="40" t="s">
        <v>19</v>
      </c>
      <c r="F215" s="41">
        <v>11</v>
      </c>
      <c r="G215" s="42">
        <v>1381.84</v>
      </c>
      <c r="H215" s="42">
        <v>291.20999999999998</v>
      </c>
      <c r="I215" s="42">
        <v>192.83</v>
      </c>
      <c r="J215" s="42">
        <v>128.09</v>
      </c>
      <c r="K215" s="40" t="s">
        <v>23</v>
      </c>
    </row>
    <row r="216" spans="1:11" x14ac:dyDescent="0.3">
      <c r="A216" s="40" t="s">
        <v>242</v>
      </c>
      <c r="B216" s="40" t="s">
        <v>25</v>
      </c>
      <c r="C216" s="40" t="s">
        <v>26</v>
      </c>
      <c r="D216" s="40" t="s">
        <v>30</v>
      </c>
      <c r="E216" s="40" t="s">
        <v>19</v>
      </c>
      <c r="F216" s="41">
        <v>13</v>
      </c>
      <c r="G216" s="42">
        <v>966.13</v>
      </c>
      <c r="H216" s="42">
        <v>197.95</v>
      </c>
      <c r="I216" s="42">
        <v>127.92</v>
      </c>
      <c r="J216" s="42">
        <v>83.63</v>
      </c>
      <c r="K216" s="40" t="s">
        <v>16</v>
      </c>
    </row>
    <row r="217" spans="1:11" x14ac:dyDescent="0.3">
      <c r="A217" s="40" t="s">
        <v>243</v>
      </c>
      <c r="B217" s="40" t="s">
        <v>12</v>
      </c>
      <c r="C217" s="40" t="s">
        <v>13</v>
      </c>
      <c r="D217" s="40" t="s">
        <v>30</v>
      </c>
      <c r="E217" s="40" t="s">
        <v>19</v>
      </c>
      <c r="F217" s="41">
        <v>8</v>
      </c>
      <c r="G217" s="42">
        <v>516.36</v>
      </c>
      <c r="H217" s="42">
        <v>131.16999999999999</v>
      </c>
      <c r="I217" s="42">
        <v>70.03</v>
      </c>
      <c r="J217" s="42">
        <v>57.47</v>
      </c>
      <c r="K217" s="40" t="s">
        <v>23</v>
      </c>
    </row>
    <row r="218" spans="1:11" x14ac:dyDescent="0.3">
      <c r="A218" s="40" t="s">
        <v>244</v>
      </c>
      <c r="B218" s="40" t="s">
        <v>25</v>
      </c>
      <c r="C218" s="40" t="s">
        <v>26</v>
      </c>
      <c r="D218" s="40" t="s">
        <v>30</v>
      </c>
      <c r="E218" s="40" t="s">
        <v>19</v>
      </c>
      <c r="F218" s="41">
        <v>11</v>
      </c>
      <c r="G218" s="42">
        <v>610.46</v>
      </c>
      <c r="H218" s="42">
        <v>137.59</v>
      </c>
      <c r="I218" s="42">
        <v>116.54</v>
      </c>
      <c r="J218" s="42">
        <v>69.599999999999994</v>
      </c>
      <c r="K218" s="40" t="s">
        <v>20</v>
      </c>
    </row>
    <row r="219" spans="1:11" x14ac:dyDescent="0.3">
      <c r="A219" s="40" t="s">
        <v>245</v>
      </c>
      <c r="B219" s="40" t="s">
        <v>25</v>
      </c>
      <c r="C219" s="40" t="s">
        <v>26</v>
      </c>
      <c r="D219" s="40" t="s">
        <v>18</v>
      </c>
      <c r="E219" s="40" t="s">
        <v>19</v>
      </c>
      <c r="F219" s="41">
        <v>6</v>
      </c>
      <c r="G219" s="42">
        <v>867.56</v>
      </c>
      <c r="H219" s="42">
        <v>214.34</v>
      </c>
      <c r="I219" s="42">
        <v>135.19</v>
      </c>
      <c r="J219" s="42">
        <v>72.23</v>
      </c>
      <c r="K219" s="40" t="s">
        <v>16</v>
      </c>
    </row>
    <row r="220" spans="1:11" x14ac:dyDescent="0.3">
      <c r="A220" s="40" t="s">
        <v>246</v>
      </c>
      <c r="B220" s="40" t="s">
        <v>12</v>
      </c>
      <c r="C220" s="40" t="s">
        <v>13</v>
      </c>
      <c r="D220" s="40" t="s">
        <v>30</v>
      </c>
      <c r="E220" s="40" t="s">
        <v>19</v>
      </c>
      <c r="F220" s="41">
        <v>12</v>
      </c>
      <c r="G220" s="42">
        <v>874.64</v>
      </c>
      <c r="H220" s="42">
        <v>162.88</v>
      </c>
      <c r="I220" s="42">
        <v>132.36000000000001</v>
      </c>
      <c r="J220" s="42">
        <v>93.89</v>
      </c>
      <c r="K220" s="40" t="s">
        <v>16</v>
      </c>
    </row>
    <row r="221" spans="1:11" x14ac:dyDescent="0.3">
      <c r="A221" s="40" t="s">
        <v>247</v>
      </c>
      <c r="B221" s="40" t="s">
        <v>12</v>
      </c>
      <c r="C221" s="40" t="s">
        <v>13</v>
      </c>
      <c r="D221" s="40" t="s">
        <v>18</v>
      </c>
      <c r="E221" s="40" t="s">
        <v>19</v>
      </c>
      <c r="F221" s="41">
        <v>6</v>
      </c>
      <c r="G221" s="42">
        <v>816.21</v>
      </c>
      <c r="H221" s="42">
        <v>172.16</v>
      </c>
      <c r="I221" s="42">
        <v>142.34</v>
      </c>
      <c r="J221" s="42">
        <v>92.53</v>
      </c>
      <c r="K221" s="40" t="s">
        <v>16</v>
      </c>
    </row>
    <row r="222" spans="1:11" x14ac:dyDescent="0.3">
      <c r="A222" s="40" t="s">
        <v>248</v>
      </c>
      <c r="B222" s="40" t="s">
        <v>33</v>
      </c>
      <c r="C222" s="40" t="s">
        <v>34</v>
      </c>
      <c r="D222" s="40" t="s">
        <v>30</v>
      </c>
      <c r="E222" s="40" t="s">
        <v>19</v>
      </c>
      <c r="F222" s="41">
        <v>12</v>
      </c>
      <c r="G222" s="42">
        <v>735.06</v>
      </c>
      <c r="H222" s="42">
        <v>205.61</v>
      </c>
      <c r="I222" s="42">
        <v>116.71</v>
      </c>
      <c r="J222" s="42">
        <v>84.67</v>
      </c>
      <c r="K222" s="40" t="s">
        <v>23</v>
      </c>
    </row>
    <row r="223" spans="1:11" x14ac:dyDescent="0.3">
      <c r="A223" s="40" t="s">
        <v>249</v>
      </c>
      <c r="B223" s="40" t="s">
        <v>33</v>
      </c>
      <c r="C223" s="40" t="s">
        <v>34</v>
      </c>
      <c r="D223" s="40" t="s">
        <v>18</v>
      </c>
      <c r="E223" s="40" t="s">
        <v>19</v>
      </c>
      <c r="F223" s="41">
        <v>13</v>
      </c>
      <c r="G223" s="42">
        <v>2053.34</v>
      </c>
      <c r="H223" s="42">
        <v>412.95</v>
      </c>
      <c r="I223" s="42">
        <v>276.66000000000003</v>
      </c>
      <c r="J223" s="42">
        <v>198.67</v>
      </c>
      <c r="K223" s="40" t="s">
        <v>20</v>
      </c>
    </row>
    <row r="224" spans="1:11" x14ac:dyDescent="0.3">
      <c r="A224" s="40" t="s">
        <v>250</v>
      </c>
      <c r="B224" s="40" t="s">
        <v>25</v>
      </c>
      <c r="C224" s="40" t="s">
        <v>26</v>
      </c>
      <c r="D224" s="40" t="s">
        <v>22</v>
      </c>
      <c r="E224" s="40" t="s">
        <v>19</v>
      </c>
      <c r="F224" s="41">
        <v>11</v>
      </c>
      <c r="G224" s="42">
        <v>1148.31</v>
      </c>
      <c r="H224" s="42">
        <v>297</v>
      </c>
      <c r="I224" s="42">
        <v>169.29</v>
      </c>
      <c r="J224" s="42">
        <v>135.41999999999999</v>
      </c>
      <c r="K224" s="40" t="s">
        <v>16</v>
      </c>
    </row>
    <row r="225" spans="1:11" x14ac:dyDescent="0.3">
      <c r="A225" s="40" t="s">
        <v>251</v>
      </c>
      <c r="B225" s="40" t="s">
        <v>33</v>
      </c>
      <c r="C225" s="40" t="s">
        <v>34</v>
      </c>
      <c r="D225" s="40" t="s">
        <v>28</v>
      </c>
      <c r="E225" s="40" t="s">
        <v>19</v>
      </c>
      <c r="F225" s="41">
        <v>8</v>
      </c>
      <c r="G225" s="42">
        <v>958.92</v>
      </c>
      <c r="H225" s="42">
        <v>175.53</v>
      </c>
      <c r="I225" s="42">
        <v>144.83000000000001</v>
      </c>
      <c r="J225" s="42">
        <v>153.86000000000001</v>
      </c>
      <c r="K225" s="40" t="s">
        <v>20</v>
      </c>
    </row>
    <row r="226" spans="1:11" x14ac:dyDescent="0.3">
      <c r="A226" s="40" t="s">
        <v>252</v>
      </c>
      <c r="B226" s="40" t="s">
        <v>33</v>
      </c>
      <c r="C226" s="40" t="s">
        <v>34</v>
      </c>
      <c r="D226" s="40" t="s">
        <v>35</v>
      </c>
      <c r="E226" s="40" t="s">
        <v>19</v>
      </c>
      <c r="F226" s="41">
        <v>12</v>
      </c>
      <c r="G226" s="42">
        <v>1139.8499999999999</v>
      </c>
      <c r="H226" s="42">
        <v>237.17</v>
      </c>
      <c r="I226" s="42">
        <v>134.52000000000001</v>
      </c>
      <c r="J226" s="42">
        <v>127.6</v>
      </c>
      <c r="K226" s="40" t="s">
        <v>23</v>
      </c>
    </row>
    <row r="227" spans="1:11" x14ac:dyDescent="0.3">
      <c r="A227" s="40" t="s">
        <v>253</v>
      </c>
      <c r="B227" s="40" t="s">
        <v>33</v>
      </c>
      <c r="C227" s="40" t="s">
        <v>34</v>
      </c>
      <c r="D227" s="40" t="s">
        <v>22</v>
      </c>
      <c r="E227" s="40" t="s">
        <v>19</v>
      </c>
      <c r="F227" s="41">
        <v>3</v>
      </c>
      <c r="G227" s="42">
        <v>367.2</v>
      </c>
      <c r="H227" s="42">
        <v>60.46</v>
      </c>
      <c r="I227" s="42">
        <v>45.77</v>
      </c>
      <c r="J227" s="42">
        <v>34.5</v>
      </c>
      <c r="K227" s="40" t="s">
        <v>16</v>
      </c>
    </row>
    <row r="228" spans="1:11" x14ac:dyDescent="0.3">
      <c r="A228" s="40" t="s">
        <v>254</v>
      </c>
      <c r="B228" s="40" t="s">
        <v>33</v>
      </c>
      <c r="C228" s="40" t="s">
        <v>34</v>
      </c>
      <c r="D228" s="40" t="s">
        <v>14</v>
      </c>
      <c r="E228" s="40" t="s">
        <v>15</v>
      </c>
      <c r="F228" s="41">
        <v>9</v>
      </c>
      <c r="G228" s="42">
        <v>1617.89</v>
      </c>
      <c r="H228" s="42">
        <v>263.91000000000003</v>
      </c>
      <c r="I228" s="42">
        <v>164.09</v>
      </c>
      <c r="J228" s="42">
        <v>251.61</v>
      </c>
      <c r="K228" s="40" t="s">
        <v>16</v>
      </c>
    </row>
    <row r="229" spans="1:11" x14ac:dyDescent="0.3">
      <c r="A229" s="40" t="s">
        <v>255</v>
      </c>
      <c r="B229" s="40" t="s">
        <v>12</v>
      </c>
      <c r="C229" s="40" t="s">
        <v>13</v>
      </c>
      <c r="D229" s="40" t="s">
        <v>22</v>
      </c>
      <c r="E229" s="40" t="s">
        <v>19</v>
      </c>
      <c r="F229" s="41">
        <v>1</v>
      </c>
      <c r="G229" s="42">
        <v>105.35</v>
      </c>
      <c r="H229" s="42">
        <v>25.44</v>
      </c>
      <c r="I229" s="42">
        <v>16.52</v>
      </c>
      <c r="J229" s="42">
        <v>11.39</v>
      </c>
      <c r="K229" s="40" t="s">
        <v>20</v>
      </c>
    </row>
    <row r="230" spans="1:11" x14ac:dyDescent="0.3">
      <c r="A230" s="40" t="s">
        <v>256</v>
      </c>
      <c r="B230" s="40" t="s">
        <v>33</v>
      </c>
      <c r="C230" s="40" t="s">
        <v>34</v>
      </c>
      <c r="D230" s="40" t="s">
        <v>35</v>
      </c>
      <c r="E230" s="40" t="s">
        <v>19</v>
      </c>
      <c r="F230" s="41">
        <v>12</v>
      </c>
      <c r="G230" s="42">
        <v>1137.82</v>
      </c>
      <c r="H230" s="42">
        <v>250.61</v>
      </c>
      <c r="I230" s="42">
        <v>140.06</v>
      </c>
      <c r="J230" s="42">
        <v>122.8</v>
      </c>
      <c r="K230" s="40" t="s">
        <v>20</v>
      </c>
    </row>
    <row r="231" spans="1:11" x14ac:dyDescent="0.3">
      <c r="A231" s="40" t="s">
        <v>257</v>
      </c>
      <c r="B231" s="40" t="s">
        <v>12</v>
      </c>
      <c r="C231" s="40" t="s">
        <v>13</v>
      </c>
      <c r="D231" s="40" t="s">
        <v>30</v>
      </c>
      <c r="E231" s="40" t="s">
        <v>19</v>
      </c>
      <c r="F231" s="41">
        <v>6</v>
      </c>
      <c r="G231" s="42">
        <v>392.82</v>
      </c>
      <c r="H231" s="42">
        <v>78.86</v>
      </c>
      <c r="I231" s="42">
        <v>48.59</v>
      </c>
      <c r="J231" s="42">
        <v>41.44</v>
      </c>
      <c r="K231" s="40" t="s">
        <v>23</v>
      </c>
    </row>
    <row r="232" spans="1:11" x14ac:dyDescent="0.3">
      <c r="A232" s="40" t="s">
        <v>258</v>
      </c>
      <c r="B232" s="40" t="s">
        <v>12</v>
      </c>
      <c r="C232" s="40" t="s">
        <v>13</v>
      </c>
      <c r="D232" s="40" t="s">
        <v>22</v>
      </c>
      <c r="E232" s="40" t="s">
        <v>19</v>
      </c>
      <c r="F232" s="41">
        <v>7</v>
      </c>
      <c r="G232" s="42">
        <v>904.61</v>
      </c>
      <c r="H232" s="42">
        <v>128.84</v>
      </c>
      <c r="I232" s="42">
        <v>98.06</v>
      </c>
      <c r="J232" s="42">
        <v>89.43</v>
      </c>
      <c r="K232" s="40" t="s">
        <v>23</v>
      </c>
    </row>
    <row r="233" spans="1:11" x14ac:dyDescent="0.3">
      <c r="A233" s="40" t="s">
        <v>259</v>
      </c>
      <c r="B233" s="40" t="s">
        <v>25</v>
      </c>
      <c r="C233" s="40" t="s">
        <v>26</v>
      </c>
      <c r="D233" s="40" t="s">
        <v>22</v>
      </c>
      <c r="E233" s="40" t="s">
        <v>19</v>
      </c>
      <c r="F233" s="41">
        <v>13</v>
      </c>
      <c r="G233" s="42">
        <v>1498.66</v>
      </c>
      <c r="H233" s="42">
        <v>261.95999999999998</v>
      </c>
      <c r="I233" s="42">
        <v>185.18</v>
      </c>
      <c r="J233" s="42">
        <v>150.13</v>
      </c>
      <c r="K233" s="40" t="s">
        <v>16</v>
      </c>
    </row>
    <row r="234" spans="1:11" x14ac:dyDescent="0.3">
      <c r="A234" s="40" t="s">
        <v>260</v>
      </c>
      <c r="B234" s="40" t="s">
        <v>25</v>
      </c>
      <c r="C234" s="40" t="s">
        <v>26</v>
      </c>
      <c r="D234" s="40" t="s">
        <v>28</v>
      </c>
      <c r="E234" s="40" t="s">
        <v>19</v>
      </c>
      <c r="F234" s="41">
        <v>12</v>
      </c>
      <c r="G234" s="42">
        <v>1472.96</v>
      </c>
      <c r="H234" s="42">
        <v>314.06</v>
      </c>
      <c r="I234" s="42">
        <v>236.04</v>
      </c>
      <c r="J234" s="42">
        <v>219.55</v>
      </c>
      <c r="K234" s="40" t="s">
        <v>20</v>
      </c>
    </row>
    <row r="235" spans="1:11" x14ac:dyDescent="0.3">
      <c r="A235" s="40" t="s">
        <v>261</v>
      </c>
      <c r="B235" s="40" t="s">
        <v>12</v>
      </c>
      <c r="C235" s="40" t="s">
        <v>13</v>
      </c>
      <c r="D235" s="40" t="s">
        <v>14</v>
      </c>
      <c r="E235" s="40" t="s">
        <v>15</v>
      </c>
      <c r="F235" s="41">
        <v>7</v>
      </c>
      <c r="G235" s="42">
        <v>1211.53</v>
      </c>
      <c r="H235" s="42">
        <v>204.94</v>
      </c>
      <c r="I235" s="42">
        <v>129.01</v>
      </c>
      <c r="J235" s="42">
        <v>158.94999999999999</v>
      </c>
      <c r="K235" s="40" t="s">
        <v>23</v>
      </c>
    </row>
    <row r="236" spans="1:11" x14ac:dyDescent="0.3">
      <c r="A236" s="40" t="s">
        <v>262</v>
      </c>
      <c r="B236" s="40" t="s">
        <v>12</v>
      </c>
      <c r="C236" s="40" t="s">
        <v>13</v>
      </c>
      <c r="D236" s="40" t="s">
        <v>18</v>
      </c>
      <c r="E236" s="40" t="s">
        <v>19</v>
      </c>
      <c r="F236" s="41">
        <v>6</v>
      </c>
      <c r="G236" s="42">
        <v>810.28</v>
      </c>
      <c r="H236" s="42">
        <v>158.25</v>
      </c>
      <c r="I236" s="42">
        <v>133.61000000000001</v>
      </c>
      <c r="J236" s="42">
        <v>76.959999999999994</v>
      </c>
      <c r="K236" s="40" t="s">
        <v>23</v>
      </c>
    </row>
    <row r="237" spans="1:11" x14ac:dyDescent="0.3">
      <c r="A237" s="40" t="s">
        <v>263</v>
      </c>
      <c r="B237" s="40" t="s">
        <v>25</v>
      </c>
      <c r="C237" s="40" t="s">
        <v>26</v>
      </c>
      <c r="D237" s="40" t="s">
        <v>18</v>
      </c>
      <c r="E237" s="40" t="s">
        <v>19</v>
      </c>
      <c r="F237" s="41">
        <v>3</v>
      </c>
      <c r="G237" s="42">
        <v>495.49</v>
      </c>
      <c r="H237" s="42">
        <v>109.65</v>
      </c>
      <c r="I237" s="42">
        <v>67.37</v>
      </c>
      <c r="J237" s="42">
        <v>41.99</v>
      </c>
      <c r="K237" s="40" t="s">
        <v>16</v>
      </c>
    </row>
    <row r="238" spans="1:11" x14ac:dyDescent="0.3">
      <c r="A238" s="40" t="s">
        <v>264</v>
      </c>
      <c r="B238" s="40" t="s">
        <v>12</v>
      </c>
      <c r="C238" s="40" t="s">
        <v>13</v>
      </c>
      <c r="D238" s="40" t="s">
        <v>28</v>
      </c>
      <c r="E238" s="40" t="s">
        <v>19</v>
      </c>
      <c r="F238" s="41">
        <v>13</v>
      </c>
      <c r="G238" s="42">
        <v>1762.19</v>
      </c>
      <c r="H238" s="42">
        <v>297.89</v>
      </c>
      <c r="I238" s="42">
        <v>195.45</v>
      </c>
      <c r="J238" s="42">
        <v>204.96</v>
      </c>
      <c r="K238" s="40" t="s">
        <v>20</v>
      </c>
    </row>
    <row r="239" spans="1:11" x14ac:dyDescent="0.3">
      <c r="A239" s="40" t="s">
        <v>265</v>
      </c>
      <c r="B239" s="40" t="s">
        <v>33</v>
      </c>
      <c r="C239" s="40" t="s">
        <v>34</v>
      </c>
      <c r="D239" s="40" t="s">
        <v>18</v>
      </c>
      <c r="E239" s="40" t="s">
        <v>19</v>
      </c>
      <c r="F239" s="41">
        <v>7</v>
      </c>
      <c r="G239" s="42">
        <v>1077.8</v>
      </c>
      <c r="H239" s="42">
        <v>184.81</v>
      </c>
      <c r="I239" s="42">
        <v>167.13</v>
      </c>
      <c r="J239" s="42">
        <v>92.69</v>
      </c>
      <c r="K239" s="40" t="s">
        <v>23</v>
      </c>
    </row>
    <row r="240" spans="1:11" x14ac:dyDescent="0.3">
      <c r="A240" s="40" t="s">
        <v>266</v>
      </c>
      <c r="B240" s="40" t="s">
        <v>33</v>
      </c>
      <c r="C240" s="40" t="s">
        <v>34</v>
      </c>
      <c r="D240" s="40" t="s">
        <v>14</v>
      </c>
      <c r="E240" s="40" t="s">
        <v>15</v>
      </c>
      <c r="F240" s="41">
        <v>5</v>
      </c>
      <c r="G240" s="42">
        <v>768.98</v>
      </c>
      <c r="H240" s="42">
        <v>120.47</v>
      </c>
      <c r="I240" s="42">
        <v>90.59</v>
      </c>
      <c r="J240" s="42">
        <v>132.59</v>
      </c>
      <c r="K240" s="40" t="s">
        <v>16</v>
      </c>
    </row>
    <row r="241" spans="1:11" x14ac:dyDescent="0.3">
      <c r="A241" s="40" t="s">
        <v>267</v>
      </c>
      <c r="B241" s="40" t="s">
        <v>33</v>
      </c>
      <c r="C241" s="40" t="s">
        <v>34</v>
      </c>
      <c r="D241" s="40" t="s">
        <v>22</v>
      </c>
      <c r="E241" s="40" t="s">
        <v>19</v>
      </c>
      <c r="F241" s="41">
        <v>13</v>
      </c>
      <c r="G241" s="42">
        <v>1280.8599999999999</v>
      </c>
      <c r="H241" s="42">
        <v>239.94</v>
      </c>
      <c r="I241" s="42">
        <v>210.5</v>
      </c>
      <c r="J241" s="42">
        <v>180.12</v>
      </c>
      <c r="K241" s="40" t="s">
        <v>20</v>
      </c>
    </row>
    <row r="242" spans="1:11" x14ac:dyDescent="0.3">
      <c r="A242" s="40" t="s">
        <v>268</v>
      </c>
      <c r="B242" s="40" t="s">
        <v>33</v>
      </c>
      <c r="C242" s="40" t="s">
        <v>34</v>
      </c>
      <c r="D242" s="40" t="s">
        <v>18</v>
      </c>
      <c r="E242" s="40" t="s">
        <v>19</v>
      </c>
      <c r="F242" s="41">
        <v>14</v>
      </c>
      <c r="G242" s="42">
        <v>2300.3000000000002</v>
      </c>
      <c r="H242" s="42">
        <v>376.33</v>
      </c>
      <c r="I242" s="42">
        <v>329.71</v>
      </c>
      <c r="J242" s="42">
        <v>210.44</v>
      </c>
      <c r="K242" s="40" t="s">
        <v>20</v>
      </c>
    </row>
    <row r="243" spans="1:11" x14ac:dyDescent="0.3">
      <c r="A243" s="40" t="s">
        <v>269</v>
      </c>
      <c r="B243" s="40" t="s">
        <v>25</v>
      </c>
      <c r="C243" s="40" t="s">
        <v>26</v>
      </c>
      <c r="D243" s="40" t="s">
        <v>28</v>
      </c>
      <c r="E243" s="40" t="s">
        <v>19</v>
      </c>
      <c r="F243" s="41">
        <v>6</v>
      </c>
      <c r="G243" s="42">
        <v>869.26</v>
      </c>
      <c r="H243" s="42">
        <v>156.72999999999999</v>
      </c>
      <c r="I243" s="42">
        <v>104.53</v>
      </c>
      <c r="J243" s="42">
        <v>117.02</v>
      </c>
      <c r="K243" s="40" t="s">
        <v>16</v>
      </c>
    </row>
    <row r="244" spans="1:11" x14ac:dyDescent="0.3">
      <c r="A244" s="40" t="s">
        <v>270</v>
      </c>
      <c r="B244" s="40" t="s">
        <v>12</v>
      </c>
      <c r="C244" s="40" t="s">
        <v>13</v>
      </c>
      <c r="D244" s="40" t="s">
        <v>22</v>
      </c>
      <c r="E244" s="40" t="s">
        <v>19</v>
      </c>
      <c r="F244" s="41">
        <v>6</v>
      </c>
      <c r="G244" s="42">
        <v>683.49</v>
      </c>
      <c r="H244" s="42">
        <v>145.94999999999999</v>
      </c>
      <c r="I244" s="42">
        <v>97.96</v>
      </c>
      <c r="J244" s="42">
        <v>85.18</v>
      </c>
      <c r="K244" s="40" t="s">
        <v>23</v>
      </c>
    </row>
    <row r="245" spans="1:11" x14ac:dyDescent="0.3">
      <c r="A245" s="40" t="s">
        <v>271</v>
      </c>
      <c r="B245" s="40" t="s">
        <v>12</v>
      </c>
      <c r="C245" s="40" t="s">
        <v>13</v>
      </c>
      <c r="D245" s="40" t="s">
        <v>18</v>
      </c>
      <c r="E245" s="40" t="s">
        <v>19</v>
      </c>
      <c r="F245" s="41">
        <v>2</v>
      </c>
      <c r="G245" s="42">
        <v>272.07</v>
      </c>
      <c r="H245" s="42">
        <v>75.16</v>
      </c>
      <c r="I245" s="42">
        <v>46.02</v>
      </c>
      <c r="J245" s="42">
        <v>26.5</v>
      </c>
      <c r="K245" s="40" t="s">
        <v>16</v>
      </c>
    </row>
    <row r="246" spans="1:11" x14ac:dyDescent="0.3">
      <c r="A246" s="40" t="s">
        <v>272</v>
      </c>
      <c r="B246" s="40" t="s">
        <v>25</v>
      </c>
      <c r="C246" s="40" t="s">
        <v>26</v>
      </c>
      <c r="D246" s="40" t="s">
        <v>30</v>
      </c>
      <c r="E246" s="40" t="s">
        <v>19</v>
      </c>
      <c r="F246" s="41">
        <v>4</v>
      </c>
      <c r="G246" s="42">
        <v>230.52</v>
      </c>
      <c r="H246" s="42">
        <v>58.99</v>
      </c>
      <c r="I246" s="42">
        <v>39.17</v>
      </c>
      <c r="J246" s="42">
        <v>24.04</v>
      </c>
      <c r="K246" s="40" t="s">
        <v>20</v>
      </c>
    </row>
    <row r="247" spans="1:11" x14ac:dyDescent="0.3">
      <c r="A247" s="40" t="s">
        <v>273</v>
      </c>
      <c r="B247" s="40" t="s">
        <v>33</v>
      </c>
      <c r="C247" s="40" t="s">
        <v>34</v>
      </c>
      <c r="D247" s="40" t="s">
        <v>28</v>
      </c>
      <c r="E247" s="40" t="s">
        <v>19</v>
      </c>
      <c r="F247" s="41">
        <v>5</v>
      </c>
      <c r="G247" s="42">
        <v>610.20000000000005</v>
      </c>
      <c r="H247" s="42">
        <v>126.11</v>
      </c>
      <c r="I247" s="42">
        <v>79.069999999999993</v>
      </c>
      <c r="J247" s="42">
        <v>91.02</v>
      </c>
      <c r="K247" s="40" t="s">
        <v>16</v>
      </c>
    </row>
    <row r="248" spans="1:11" x14ac:dyDescent="0.3">
      <c r="A248" s="40" t="s">
        <v>274</v>
      </c>
      <c r="B248" s="40" t="s">
        <v>25</v>
      </c>
      <c r="C248" s="40" t="s">
        <v>26</v>
      </c>
      <c r="D248" s="40" t="s">
        <v>30</v>
      </c>
      <c r="E248" s="40" t="s">
        <v>19</v>
      </c>
      <c r="F248" s="41">
        <v>8</v>
      </c>
      <c r="G248" s="42">
        <v>539.04</v>
      </c>
      <c r="H248" s="42">
        <v>127.51</v>
      </c>
      <c r="I248" s="42">
        <v>91.83</v>
      </c>
      <c r="J248" s="42">
        <v>59.05</v>
      </c>
      <c r="K248" s="40" t="s">
        <v>20</v>
      </c>
    </row>
    <row r="249" spans="1:11" x14ac:dyDescent="0.3">
      <c r="A249" s="40" t="s">
        <v>275</v>
      </c>
      <c r="B249" s="40" t="s">
        <v>33</v>
      </c>
      <c r="C249" s="40" t="s">
        <v>34</v>
      </c>
      <c r="D249" s="40" t="s">
        <v>30</v>
      </c>
      <c r="E249" s="40" t="s">
        <v>19</v>
      </c>
      <c r="F249" s="41">
        <v>12</v>
      </c>
      <c r="G249" s="42">
        <v>884.54</v>
      </c>
      <c r="H249" s="42">
        <v>211.38</v>
      </c>
      <c r="I249" s="42">
        <v>136.55000000000001</v>
      </c>
      <c r="J249" s="42">
        <v>91.84</v>
      </c>
      <c r="K249" s="40" t="s">
        <v>20</v>
      </c>
    </row>
    <row r="250" spans="1:11" x14ac:dyDescent="0.3">
      <c r="A250" s="40" t="s">
        <v>276</v>
      </c>
      <c r="B250" s="40" t="s">
        <v>33</v>
      </c>
      <c r="C250" s="40" t="s">
        <v>34</v>
      </c>
      <c r="D250" s="40" t="s">
        <v>18</v>
      </c>
      <c r="E250" s="40" t="s">
        <v>19</v>
      </c>
      <c r="F250" s="41">
        <v>9</v>
      </c>
      <c r="G250" s="42">
        <v>1256.9100000000001</v>
      </c>
      <c r="H250" s="42">
        <v>285.01</v>
      </c>
      <c r="I250" s="42">
        <v>170.16</v>
      </c>
      <c r="J250" s="42">
        <v>123.27</v>
      </c>
      <c r="K250" s="40" t="s">
        <v>16</v>
      </c>
    </row>
    <row r="251" spans="1:11" x14ac:dyDescent="0.3">
      <c r="A251" s="40" t="s">
        <v>277</v>
      </c>
      <c r="B251" s="40" t="s">
        <v>25</v>
      </c>
      <c r="C251" s="40" t="s">
        <v>26</v>
      </c>
      <c r="D251" s="40" t="s">
        <v>18</v>
      </c>
      <c r="E251" s="40" t="s">
        <v>19</v>
      </c>
      <c r="F251" s="41">
        <v>5</v>
      </c>
      <c r="G251" s="42">
        <v>808.58</v>
      </c>
      <c r="H251" s="42">
        <v>132.72</v>
      </c>
      <c r="I251" s="42">
        <v>91.09</v>
      </c>
      <c r="J251" s="42">
        <v>61.23</v>
      </c>
      <c r="K251" s="40" t="s">
        <v>23</v>
      </c>
    </row>
    <row r="252" spans="1:11" x14ac:dyDescent="0.3">
      <c r="A252" s="40" t="s">
        <v>278</v>
      </c>
      <c r="B252" s="40" t="s">
        <v>33</v>
      </c>
      <c r="C252" s="40" t="s">
        <v>34</v>
      </c>
      <c r="D252" s="40" t="s">
        <v>35</v>
      </c>
      <c r="E252" s="40" t="s">
        <v>19</v>
      </c>
      <c r="F252" s="41">
        <v>12</v>
      </c>
      <c r="G252" s="42">
        <v>1016.86</v>
      </c>
      <c r="H252" s="42">
        <v>227.26</v>
      </c>
      <c r="I252" s="42">
        <v>149.87</v>
      </c>
      <c r="J252" s="42">
        <v>96.76</v>
      </c>
      <c r="K252" s="40" t="s">
        <v>23</v>
      </c>
    </row>
    <row r="253" spans="1:11" x14ac:dyDescent="0.3">
      <c r="A253" s="40" t="s">
        <v>279</v>
      </c>
      <c r="B253" s="40" t="s">
        <v>25</v>
      </c>
      <c r="C253" s="40" t="s">
        <v>26</v>
      </c>
      <c r="D253" s="40" t="s">
        <v>14</v>
      </c>
      <c r="E253" s="40" t="s">
        <v>15</v>
      </c>
      <c r="F253" s="41">
        <v>1</v>
      </c>
      <c r="G253" s="42">
        <v>154.44999999999999</v>
      </c>
      <c r="H253" s="42">
        <v>24.31</v>
      </c>
      <c r="I253" s="42">
        <v>19.45</v>
      </c>
      <c r="J253" s="42">
        <v>26.3</v>
      </c>
      <c r="K253" s="40" t="s">
        <v>16</v>
      </c>
    </row>
    <row r="254" spans="1:11" x14ac:dyDescent="0.3">
      <c r="A254" s="40" t="s">
        <v>280</v>
      </c>
      <c r="B254" s="40" t="s">
        <v>12</v>
      </c>
      <c r="C254" s="40" t="s">
        <v>13</v>
      </c>
      <c r="D254" s="40" t="s">
        <v>35</v>
      </c>
      <c r="E254" s="40" t="s">
        <v>19</v>
      </c>
      <c r="F254" s="41">
        <v>2</v>
      </c>
      <c r="G254" s="42">
        <v>153.75</v>
      </c>
      <c r="H254" s="42">
        <v>38.270000000000003</v>
      </c>
      <c r="I254" s="42">
        <v>27.94</v>
      </c>
      <c r="J254" s="42">
        <v>19.29</v>
      </c>
      <c r="K254" s="40" t="s">
        <v>20</v>
      </c>
    </row>
    <row r="255" spans="1:11" x14ac:dyDescent="0.3">
      <c r="A255" s="40" t="s">
        <v>281</v>
      </c>
      <c r="B255" s="40" t="s">
        <v>12</v>
      </c>
      <c r="C255" s="40" t="s">
        <v>13</v>
      </c>
      <c r="D255" s="40" t="s">
        <v>28</v>
      </c>
      <c r="E255" s="40" t="s">
        <v>19</v>
      </c>
      <c r="F255" s="41">
        <v>5</v>
      </c>
      <c r="G255" s="42">
        <v>675.75</v>
      </c>
      <c r="H255" s="42">
        <v>134.18</v>
      </c>
      <c r="I255" s="42">
        <v>81.13</v>
      </c>
      <c r="J255" s="42">
        <v>92.37</v>
      </c>
      <c r="K255" s="40" t="s">
        <v>16</v>
      </c>
    </row>
    <row r="256" spans="1:11" x14ac:dyDescent="0.3">
      <c r="A256" s="40" t="s">
        <v>282</v>
      </c>
      <c r="B256" s="40" t="s">
        <v>33</v>
      </c>
      <c r="C256" s="40" t="s">
        <v>34</v>
      </c>
      <c r="D256" s="40" t="s">
        <v>18</v>
      </c>
      <c r="E256" s="40" t="s">
        <v>19</v>
      </c>
      <c r="F256" s="41">
        <v>6</v>
      </c>
      <c r="G256" s="42">
        <v>792.09</v>
      </c>
      <c r="H256" s="42">
        <v>199.29</v>
      </c>
      <c r="I256" s="42">
        <v>113.66</v>
      </c>
      <c r="J256" s="42">
        <v>79.72</v>
      </c>
      <c r="K256" s="40" t="s">
        <v>16</v>
      </c>
    </row>
    <row r="257" spans="1:11" x14ac:dyDescent="0.3">
      <c r="A257" s="40" t="s">
        <v>283</v>
      </c>
      <c r="B257" s="40" t="s">
        <v>33</v>
      </c>
      <c r="C257" s="40" t="s">
        <v>34</v>
      </c>
      <c r="D257" s="40" t="s">
        <v>22</v>
      </c>
      <c r="E257" s="40" t="s">
        <v>19</v>
      </c>
      <c r="F257" s="41">
        <v>12</v>
      </c>
      <c r="G257" s="42">
        <v>1280.22</v>
      </c>
      <c r="H257" s="42">
        <v>232.26</v>
      </c>
      <c r="I257" s="42">
        <v>148.46</v>
      </c>
      <c r="J257" s="42">
        <v>166.83</v>
      </c>
      <c r="K257" s="40" t="s">
        <v>16</v>
      </c>
    </row>
    <row r="258" spans="1:11" x14ac:dyDescent="0.3">
      <c r="A258" s="40" t="s">
        <v>284</v>
      </c>
      <c r="B258" s="40" t="s">
        <v>12</v>
      </c>
      <c r="C258" s="40" t="s">
        <v>13</v>
      </c>
      <c r="D258" s="40" t="s">
        <v>18</v>
      </c>
      <c r="E258" s="40" t="s">
        <v>19</v>
      </c>
      <c r="F258" s="41">
        <v>12</v>
      </c>
      <c r="G258" s="42">
        <v>1845.55</v>
      </c>
      <c r="H258" s="42">
        <v>451.64</v>
      </c>
      <c r="I258" s="42">
        <v>232.26</v>
      </c>
      <c r="J258" s="42">
        <v>187.57</v>
      </c>
      <c r="K258" s="40" t="s">
        <v>16</v>
      </c>
    </row>
    <row r="259" spans="1:11" x14ac:dyDescent="0.3">
      <c r="A259" s="40" t="s">
        <v>285</v>
      </c>
      <c r="B259" s="40" t="s">
        <v>12</v>
      </c>
      <c r="C259" s="40" t="s">
        <v>13</v>
      </c>
      <c r="D259" s="40" t="s">
        <v>22</v>
      </c>
      <c r="E259" s="40" t="s">
        <v>19</v>
      </c>
      <c r="F259" s="41">
        <v>7</v>
      </c>
      <c r="G259" s="42">
        <v>717.63</v>
      </c>
      <c r="H259" s="42">
        <v>160.83000000000001</v>
      </c>
      <c r="I259" s="42">
        <v>124.38</v>
      </c>
      <c r="J259" s="42">
        <v>78.989999999999995</v>
      </c>
      <c r="K259" s="40" t="s">
        <v>23</v>
      </c>
    </row>
    <row r="260" spans="1:11" x14ac:dyDescent="0.3">
      <c r="A260" s="40" t="s">
        <v>286</v>
      </c>
      <c r="B260" s="40" t="s">
        <v>25</v>
      </c>
      <c r="C260" s="40" t="s">
        <v>26</v>
      </c>
      <c r="D260" s="40" t="s">
        <v>28</v>
      </c>
      <c r="E260" s="40" t="s">
        <v>19</v>
      </c>
      <c r="F260" s="41">
        <v>2</v>
      </c>
      <c r="G260" s="42">
        <v>247.25</v>
      </c>
      <c r="H260" s="42">
        <v>42.92</v>
      </c>
      <c r="I260" s="42">
        <v>35.630000000000003</v>
      </c>
      <c r="J260" s="42">
        <v>31.23</v>
      </c>
      <c r="K260" s="40" t="s">
        <v>16</v>
      </c>
    </row>
    <row r="261" spans="1:11" x14ac:dyDescent="0.3">
      <c r="A261" s="40" t="s">
        <v>287</v>
      </c>
      <c r="B261" s="40" t="s">
        <v>25</v>
      </c>
      <c r="C261" s="40" t="s">
        <v>26</v>
      </c>
      <c r="D261" s="40" t="s">
        <v>30</v>
      </c>
      <c r="E261" s="40" t="s">
        <v>19</v>
      </c>
      <c r="F261" s="41">
        <v>4</v>
      </c>
      <c r="G261" s="42">
        <v>280.79000000000002</v>
      </c>
      <c r="H261" s="42">
        <v>70.31</v>
      </c>
      <c r="I261" s="42">
        <v>39.409999999999997</v>
      </c>
      <c r="J261" s="42">
        <v>25.38</v>
      </c>
      <c r="K261" s="40" t="s">
        <v>23</v>
      </c>
    </row>
    <row r="262" spans="1:11" x14ac:dyDescent="0.3">
      <c r="A262" s="40" t="s">
        <v>288</v>
      </c>
      <c r="B262" s="40" t="s">
        <v>25</v>
      </c>
      <c r="C262" s="40" t="s">
        <v>26</v>
      </c>
      <c r="D262" s="40" t="s">
        <v>14</v>
      </c>
      <c r="E262" s="40" t="s">
        <v>15</v>
      </c>
      <c r="F262" s="41">
        <v>12</v>
      </c>
      <c r="G262" s="42">
        <v>1992.44</v>
      </c>
      <c r="H262" s="42">
        <v>376.66</v>
      </c>
      <c r="I262" s="42">
        <v>280.01</v>
      </c>
      <c r="J262" s="42">
        <v>243.27</v>
      </c>
      <c r="K262" s="40" t="s">
        <v>23</v>
      </c>
    </row>
    <row r="263" spans="1:11" x14ac:dyDescent="0.3">
      <c r="A263" s="40" t="s">
        <v>289</v>
      </c>
      <c r="B263" s="40" t="s">
        <v>12</v>
      </c>
      <c r="C263" s="40" t="s">
        <v>13</v>
      </c>
      <c r="D263" s="40" t="s">
        <v>22</v>
      </c>
      <c r="E263" s="40" t="s">
        <v>19</v>
      </c>
      <c r="F263" s="41">
        <v>10</v>
      </c>
      <c r="G263" s="42">
        <v>1241.3499999999999</v>
      </c>
      <c r="H263" s="42">
        <v>264.2</v>
      </c>
      <c r="I263" s="42">
        <v>140.16999999999999</v>
      </c>
      <c r="J263" s="42">
        <v>138.9</v>
      </c>
      <c r="K263" s="40" t="s">
        <v>20</v>
      </c>
    </row>
    <row r="264" spans="1:11" x14ac:dyDescent="0.3">
      <c r="A264" s="40" t="s">
        <v>290</v>
      </c>
      <c r="B264" s="40" t="s">
        <v>33</v>
      </c>
      <c r="C264" s="40" t="s">
        <v>34</v>
      </c>
      <c r="D264" s="40" t="s">
        <v>14</v>
      </c>
      <c r="E264" s="40" t="s">
        <v>15</v>
      </c>
      <c r="F264" s="41">
        <v>1</v>
      </c>
      <c r="G264" s="42">
        <v>175.56</v>
      </c>
      <c r="H264" s="42">
        <v>25.86</v>
      </c>
      <c r="I264" s="42">
        <v>18.39</v>
      </c>
      <c r="J264" s="42">
        <v>27.66</v>
      </c>
      <c r="K264" s="40" t="s">
        <v>20</v>
      </c>
    </row>
    <row r="265" spans="1:11" x14ac:dyDescent="0.3">
      <c r="A265" s="40" t="s">
        <v>291</v>
      </c>
      <c r="B265" s="40" t="s">
        <v>12</v>
      </c>
      <c r="C265" s="40" t="s">
        <v>13</v>
      </c>
      <c r="D265" s="40" t="s">
        <v>28</v>
      </c>
      <c r="E265" s="40" t="s">
        <v>19</v>
      </c>
      <c r="F265" s="41">
        <v>4</v>
      </c>
      <c r="G265" s="42">
        <v>547.29999999999995</v>
      </c>
      <c r="H265" s="42">
        <v>115.79</v>
      </c>
      <c r="I265" s="42">
        <v>72.010000000000005</v>
      </c>
      <c r="J265" s="42">
        <v>73.209999999999994</v>
      </c>
      <c r="K265" s="40" t="s">
        <v>23</v>
      </c>
    </row>
    <row r="266" spans="1:11" x14ac:dyDescent="0.3">
      <c r="A266" s="40" t="s">
        <v>292</v>
      </c>
      <c r="B266" s="40" t="s">
        <v>33</v>
      </c>
      <c r="C266" s="40" t="s">
        <v>34</v>
      </c>
      <c r="D266" s="40" t="s">
        <v>35</v>
      </c>
      <c r="E266" s="40" t="s">
        <v>19</v>
      </c>
      <c r="F266" s="41">
        <v>1</v>
      </c>
      <c r="G266" s="42">
        <v>78.36</v>
      </c>
      <c r="H266" s="42">
        <v>20.399999999999999</v>
      </c>
      <c r="I266" s="42">
        <v>10.94</v>
      </c>
      <c r="J266" s="42">
        <v>9.3800000000000008</v>
      </c>
      <c r="K266" s="40" t="s">
        <v>16</v>
      </c>
    </row>
    <row r="267" spans="1:11" x14ac:dyDescent="0.3">
      <c r="A267" s="40" t="s">
        <v>293</v>
      </c>
      <c r="B267" s="40" t="s">
        <v>33</v>
      </c>
      <c r="C267" s="40" t="s">
        <v>34</v>
      </c>
      <c r="D267" s="40" t="s">
        <v>22</v>
      </c>
      <c r="E267" s="40" t="s">
        <v>19</v>
      </c>
      <c r="F267" s="41">
        <v>1</v>
      </c>
      <c r="G267" s="42">
        <v>104.2</v>
      </c>
      <c r="H267" s="42">
        <v>27.98</v>
      </c>
      <c r="I267" s="42">
        <v>15.15</v>
      </c>
      <c r="J267" s="42">
        <v>11.72</v>
      </c>
      <c r="K267" s="40" t="s">
        <v>20</v>
      </c>
    </row>
    <row r="268" spans="1:11" x14ac:dyDescent="0.3">
      <c r="A268" s="40" t="s">
        <v>294</v>
      </c>
      <c r="B268" s="40" t="s">
        <v>12</v>
      </c>
      <c r="C268" s="40" t="s">
        <v>13</v>
      </c>
      <c r="D268" s="40" t="s">
        <v>30</v>
      </c>
      <c r="E268" s="40" t="s">
        <v>19</v>
      </c>
      <c r="F268" s="41">
        <v>5</v>
      </c>
      <c r="G268" s="42">
        <v>372.66</v>
      </c>
      <c r="H268" s="42">
        <v>78.98</v>
      </c>
      <c r="I268" s="42">
        <v>55.9</v>
      </c>
      <c r="J268" s="42">
        <v>33.549999999999997</v>
      </c>
      <c r="K268" s="40" t="s">
        <v>23</v>
      </c>
    </row>
    <row r="269" spans="1:11" x14ac:dyDescent="0.3">
      <c r="A269" s="40" t="s">
        <v>295</v>
      </c>
      <c r="B269" s="40" t="s">
        <v>12</v>
      </c>
      <c r="C269" s="40" t="s">
        <v>13</v>
      </c>
      <c r="D269" s="40" t="s">
        <v>18</v>
      </c>
      <c r="E269" s="40" t="s">
        <v>19</v>
      </c>
      <c r="F269" s="41">
        <v>14</v>
      </c>
      <c r="G269" s="42">
        <v>2154.41</v>
      </c>
      <c r="H269" s="42">
        <v>406.86</v>
      </c>
      <c r="I269" s="42">
        <v>313.83</v>
      </c>
      <c r="J269" s="42">
        <v>208.32</v>
      </c>
      <c r="K269" s="40" t="s">
        <v>16</v>
      </c>
    </row>
    <row r="270" spans="1:11" x14ac:dyDescent="0.3">
      <c r="A270" s="40" t="s">
        <v>296</v>
      </c>
      <c r="B270" s="40" t="s">
        <v>12</v>
      </c>
      <c r="C270" s="40" t="s">
        <v>13</v>
      </c>
      <c r="D270" s="40" t="s">
        <v>22</v>
      </c>
      <c r="E270" s="40" t="s">
        <v>19</v>
      </c>
      <c r="F270" s="41">
        <v>8</v>
      </c>
      <c r="G270" s="42">
        <v>774.76</v>
      </c>
      <c r="H270" s="42">
        <v>204.23</v>
      </c>
      <c r="I270" s="42">
        <v>114.63</v>
      </c>
      <c r="J270" s="42">
        <v>110.8</v>
      </c>
      <c r="K270" s="40" t="s">
        <v>23</v>
      </c>
    </row>
    <row r="271" spans="1:11" x14ac:dyDescent="0.3">
      <c r="A271" s="40" t="s">
        <v>297</v>
      </c>
      <c r="B271" s="40" t="s">
        <v>25</v>
      </c>
      <c r="C271" s="40" t="s">
        <v>26</v>
      </c>
      <c r="D271" s="40" t="s">
        <v>14</v>
      </c>
      <c r="E271" s="40" t="s">
        <v>15</v>
      </c>
      <c r="F271" s="41">
        <v>8</v>
      </c>
      <c r="G271" s="42">
        <v>1251.8699999999999</v>
      </c>
      <c r="H271" s="42">
        <v>195.8</v>
      </c>
      <c r="I271" s="42">
        <v>176.93</v>
      </c>
      <c r="J271" s="42">
        <v>222.31</v>
      </c>
      <c r="K271" s="40" t="s">
        <v>23</v>
      </c>
    </row>
    <row r="272" spans="1:11" x14ac:dyDescent="0.3">
      <c r="A272" s="40" t="s">
        <v>298</v>
      </c>
      <c r="B272" s="40" t="s">
        <v>25</v>
      </c>
      <c r="C272" s="40" t="s">
        <v>26</v>
      </c>
      <c r="D272" s="40" t="s">
        <v>35</v>
      </c>
      <c r="E272" s="40" t="s">
        <v>19</v>
      </c>
      <c r="F272" s="41">
        <v>13</v>
      </c>
      <c r="G272" s="42">
        <v>1075.04</v>
      </c>
      <c r="H272" s="42">
        <v>210.28</v>
      </c>
      <c r="I272" s="42">
        <v>177.31</v>
      </c>
      <c r="J272" s="42">
        <v>137.06</v>
      </c>
      <c r="K272" s="40" t="s">
        <v>20</v>
      </c>
    </row>
    <row r="273" spans="1:11" x14ac:dyDescent="0.3">
      <c r="A273" s="40" t="s">
        <v>299</v>
      </c>
      <c r="B273" s="40" t="s">
        <v>12</v>
      </c>
      <c r="C273" s="40" t="s">
        <v>13</v>
      </c>
      <c r="D273" s="40" t="s">
        <v>22</v>
      </c>
      <c r="E273" s="40" t="s">
        <v>19</v>
      </c>
      <c r="F273" s="41">
        <v>6</v>
      </c>
      <c r="G273" s="42">
        <v>742.38</v>
      </c>
      <c r="H273" s="42">
        <v>135.82</v>
      </c>
      <c r="I273" s="42">
        <v>97.58</v>
      </c>
      <c r="J273" s="42">
        <v>87.17</v>
      </c>
      <c r="K273" s="40" t="s">
        <v>20</v>
      </c>
    </row>
    <row r="274" spans="1:11" x14ac:dyDescent="0.3">
      <c r="A274" s="40" t="s">
        <v>300</v>
      </c>
      <c r="B274" s="40" t="s">
        <v>12</v>
      </c>
      <c r="C274" s="40" t="s">
        <v>13</v>
      </c>
      <c r="D274" s="40" t="s">
        <v>30</v>
      </c>
      <c r="E274" s="40" t="s">
        <v>19</v>
      </c>
      <c r="F274" s="41">
        <v>6</v>
      </c>
      <c r="G274" s="42">
        <v>355.32</v>
      </c>
      <c r="H274" s="42">
        <v>77.86</v>
      </c>
      <c r="I274" s="42">
        <v>60.1</v>
      </c>
      <c r="J274" s="42">
        <v>39.92</v>
      </c>
      <c r="K274" s="40" t="s">
        <v>20</v>
      </c>
    </row>
    <row r="275" spans="1:11" x14ac:dyDescent="0.3">
      <c r="A275" s="40" t="s">
        <v>301</v>
      </c>
      <c r="B275" s="40" t="s">
        <v>12</v>
      </c>
      <c r="C275" s="40" t="s">
        <v>13</v>
      </c>
      <c r="D275" s="40" t="s">
        <v>22</v>
      </c>
      <c r="E275" s="40" t="s">
        <v>19</v>
      </c>
      <c r="F275" s="41">
        <v>5</v>
      </c>
      <c r="G275" s="42">
        <v>507.67</v>
      </c>
      <c r="H275" s="42">
        <v>133.55000000000001</v>
      </c>
      <c r="I275" s="42">
        <v>89.21</v>
      </c>
      <c r="J275" s="42">
        <v>67.73</v>
      </c>
      <c r="K275" s="40" t="s">
        <v>20</v>
      </c>
    </row>
    <row r="276" spans="1:11" x14ac:dyDescent="0.3">
      <c r="A276" s="40" t="s">
        <v>302</v>
      </c>
      <c r="B276" s="40" t="s">
        <v>33</v>
      </c>
      <c r="C276" s="40" t="s">
        <v>34</v>
      </c>
      <c r="D276" s="40" t="s">
        <v>28</v>
      </c>
      <c r="E276" s="40" t="s">
        <v>19</v>
      </c>
      <c r="F276" s="41">
        <v>11</v>
      </c>
      <c r="G276" s="42">
        <v>1273.7</v>
      </c>
      <c r="H276" s="42">
        <v>249.99</v>
      </c>
      <c r="I276" s="42">
        <v>196.14</v>
      </c>
      <c r="J276" s="42">
        <v>218.17</v>
      </c>
      <c r="K276" s="40" t="s">
        <v>16</v>
      </c>
    </row>
    <row r="277" spans="1:11" x14ac:dyDescent="0.3">
      <c r="A277" s="40" t="s">
        <v>303</v>
      </c>
      <c r="B277" s="40" t="s">
        <v>33</v>
      </c>
      <c r="C277" s="40" t="s">
        <v>34</v>
      </c>
      <c r="D277" s="40" t="s">
        <v>30</v>
      </c>
      <c r="E277" s="40" t="s">
        <v>19</v>
      </c>
      <c r="F277" s="41">
        <v>7</v>
      </c>
      <c r="G277" s="42">
        <v>402.2</v>
      </c>
      <c r="H277" s="42">
        <v>110.45</v>
      </c>
      <c r="I277" s="42">
        <v>83.87</v>
      </c>
      <c r="J277" s="42">
        <v>51.49</v>
      </c>
      <c r="K277" s="40" t="s">
        <v>23</v>
      </c>
    </row>
    <row r="278" spans="1:11" x14ac:dyDescent="0.3">
      <c r="A278" s="40" t="s">
        <v>304</v>
      </c>
      <c r="B278" s="40" t="s">
        <v>25</v>
      </c>
      <c r="C278" s="40" t="s">
        <v>26</v>
      </c>
      <c r="D278" s="40" t="s">
        <v>18</v>
      </c>
      <c r="E278" s="40" t="s">
        <v>19</v>
      </c>
      <c r="F278" s="41">
        <v>9</v>
      </c>
      <c r="G278" s="42">
        <v>1367.73</v>
      </c>
      <c r="H278" s="42">
        <v>258.08999999999997</v>
      </c>
      <c r="I278" s="42">
        <v>208.61</v>
      </c>
      <c r="J278" s="42">
        <v>138</v>
      </c>
      <c r="K278" s="40" t="s">
        <v>23</v>
      </c>
    </row>
    <row r="279" spans="1:11" x14ac:dyDescent="0.3">
      <c r="A279" s="40" t="s">
        <v>305</v>
      </c>
      <c r="B279" s="40" t="s">
        <v>25</v>
      </c>
      <c r="C279" s="40" t="s">
        <v>26</v>
      </c>
      <c r="D279" s="40" t="s">
        <v>18</v>
      </c>
      <c r="E279" s="40" t="s">
        <v>19</v>
      </c>
      <c r="F279" s="41">
        <v>5</v>
      </c>
      <c r="G279" s="42">
        <v>748.55</v>
      </c>
      <c r="H279" s="42">
        <v>134.76</v>
      </c>
      <c r="I279" s="42">
        <v>109.06</v>
      </c>
      <c r="J279" s="42">
        <v>73.97</v>
      </c>
      <c r="K279" s="40" t="s">
        <v>20</v>
      </c>
    </row>
    <row r="280" spans="1:11" x14ac:dyDescent="0.3">
      <c r="A280" s="40" t="s">
        <v>306</v>
      </c>
      <c r="B280" s="40" t="s">
        <v>25</v>
      </c>
      <c r="C280" s="40" t="s">
        <v>26</v>
      </c>
      <c r="D280" s="40" t="s">
        <v>35</v>
      </c>
      <c r="E280" s="40" t="s">
        <v>19</v>
      </c>
      <c r="F280" s="41">
        <v>1</v>
      </c>
      <c r="G280" s="42">
        <v>90.76</v>
      </c>
      <c r="H280" s="42">
        <v>16.600000000000001</v>
      </c>
      <c r="I280" s="42">
        <v>13.68</v>
      </c>
      <c r="J280" s="42">
        <v>8.73</v>
      </c>
      <c r="K280" s="40" t="s">
        <v>20</v>
      </c>
    </row>
    <row r="281" spans="1:11" x14ac:dyDescent="0.3">
      <c r="A281" s="40" t="s">
        <v>307</v>
      </c>
      <c r="B281" s="40" t="s">
        <v>25</v>
      </c>
      <c r="C281" s="40" t="s">
        <v>26</v>
      </c>
      <c r="D281" s="40" t="s">
        <v>14</v>
      </c>
      <c r="E281" s="40" t="s">
        <v>15</v>
      </c>
      <c r="F281" s="41">
        <v>5</v>
      </c>
      <c r="G281" s="42">
        <v>781.91</v>
      </c>
      <c r="H281" s="42">
        <v>114.6</v>
      </c>
      <c r="I281" s="42">
        <v>109.25</v>
      </c>
      <c r="J281" s="42">
        <v>125.57</v>
      </c>
      <c r="K281" s="40" t="s">
        <v>20</v>
      </c>
    </row>
    <row r="282" spans="1:11" x14ac:dyDescent="0.3">
      <c r="A282" s="40" t="s">
        <v>308</v>
      </c>
      <c r="B282" s="40" t="s">
        <v>33</v>
      </c>
      <c r="C282" s="40" t="s">
        <v>34</v>
      </c>
      <c r="D282" s="40" t="s">
        <v>28</v>
      </c>
      <c r="E282" s="40" t="s">
        <v>19</v>
      </c>
      <c r="F282" s="41">
        <v>4</v>
      </c>
      <c r="G282" s="42">
        <v>615.79</v>
      </c>
      <c r="H282" s="42">
        <v>95.77</v>
      </c>
      <c r="I282" s="42">
        <v>65.02</v>
      </c>
      <c r="J282" s="42">
        <v>75.25</v>
      </c>
      <c r="K282" s="40" t="s">
        <v>23</v>
      </c>
    </row>
    <row r="283" spans="1:11" x14ac:dyDescent="0.3">
      <c r="A283" s="40" t="s">
        <v>309</v>
      </c>
      <c r="B283" s="40" t="s">
        <v>25</v>
      </c>
      <c r="C283" s="40" t="s">
        <v>26</v>
      </c>
      <c r="D283" s="40" t="s">
        <v>14</v>
      </c>
      <c r="E283" s="40" t="s">
        <v>15</v>
      </c>
      <c r="F283" s="41">
        <v>8</v>
      </c>
      <c r="G283" s="42">
        <v>1195.7</v>
      </c>
      <c r="H283" s="42">
        <v>205.27</v>
      </c>
      <c r="I283" s="42">
        <v>170.66</v>
      </c>
      <c r="J283" s="42">
        <v>204.27</v>
      </c>
      <c r="K283" s="40" t="s">
        <v>16</v>
      </c>
    </row>
    <row r="284" spans="1:11" x14ac:dyDescent="0.3">
      <c r="A284" s="40" t="s">
        <v>310</v>
      </c>
      <c r="B284" s="40" t="s">
        <v>25</v>
      </c>
      <c r="C284" s="40" t="s">
        <v>26</v>
      </c>
      <c r="D284" s="40" t="s">
        <v>14</v>
      </c>
      <c r="E284" s="40" t="s">
        <v>15</v>
      </c>
      <c r="F284" s="41">
        <v>10</v>
      </c>
      <c r="G284" s="42">
        <v>1638.06</v>
      </c>
      <c r="H284" s="42">
        <v>251.6</v>
      </c>
      <c r="I284" s="42">
        <v>187.65</v>
      </c>
      <c r="J284" s="42">
        <v>216.66</v>
      </c>
      <c r="K284" s="40" t="s">
        <v>20</v>
      </c>
    </row>
    <row r="285" spans="1:11" x14ac:dyDescent="0.3">
      <c r="A285" s="40" t="s">
        <v>311</v>
      </c>
      <c r="B285" s="40" t="s">
        <v>12</v>
      </c>
      <c r="C285" s="40" t="s">
        <v>13</v>
      </c>
      <c r="D285" s="40" t="s">
        <v>18</v>
      </c>
      <c r="E285" s="40" t="s">
        <v>19</v>
      </c>
      <c r="F285" s="41">
        <v>1</v>
      </c>
      <c r="G285" s="42">
        <v>153.47999999999999</v>
      </c>
      <c r="H285" s="42">
        <v>26.71</v>
      </c>
      <c r="I285" s="42">
        <v>23.64</v>
      </c>
      <c r="J285" s="42">
        <v>13.19</v>
      </c>
      <c r="K285" s="40" t="s">
        <v>16</v>
      </c>
    </row>
    <row r="286" spans="1:11" x14ac:dyDescent="0.3">
      <c r="A286" s="40" t="s">
        <v>312</v>
      </c>
      <c r="B286" s="40" t="s">
        <v>25</v>
      </c>
      <c r="C286" s="40" t="s">
        <v>26</v>
      </c>
      <c r="D286" s="40" t="s">
        <v>22</v>
      </c>
      <c r="E286" s="40" t="s">
        <v>19</v>
      </c>
      <c r="F286" s="41">
        <v>4</v>
      </c>
      <c r="G286" s="42">
        <v>434.67</v>
      </c>
      <c r="H286" s="42">
        <v>103.14</v>
      </c>
      <c r="I286" s="42">
        <v>52.66</v>
      </c>
      <c r="J286" s="42">
        <v>54.34</v>
      </c>
      <c r="K286" s="40" t="s">
        <v>20</v>
      </c>
    </row>
    <row r="287" spans="1:11" x14ac:dyDescent="0.3">
      <c r="A287" s="40" t="s">
        <v>313</v>
      </c>
      <c r="B287" s="40" t="s">
        <v>25</v>
      </c>
      <c r="C287" s="40" t="s">
        <v>26</v>
      </c>
      <c r="D287" s="40" t="s">
        <v>22</v>
      </c>
      <c r="E287" s="40" t="s">
        <v>19</v>
      </c>
      <c r="F287" s="41">
        <v>2</v>
      </c>
      <c r="G287" s="42">
        <v>212.71</v>
      </c>
      <c r="H287" s="42">
        <v>52</v>
      </c>
      <c r="I287" s="42">
        <v>25.95</v>
      </c>
      <c r="J287" s="42">
        <v>23.18</v>
      </c>
      <c r="K287" s="40" t="s">
        <v>23</v>
      </c>
    </row>
    <row r="288" spans="1:11" x14ac:dyDescent="0.3">
      <c r="A288" s="40" t="s">
        <v>314</v>
      </c>
      <c r="B288" s="40" t="s">
        <v>33</v>
      </c>
      <c r="C288" s="40" t="s">
        <v>34</v>
      </c>
      <c r="D288" s="40" t="s">
        <v>14</v>
      </c>
      <c r="E288" s="40" t="s">
        <v>15</v>
      </c>
      <c r="F288" s="41">
        <v>12</v>
      </c>
      <c r="G288" s="42">
        <v>1847.07</v>
      </c>
      <c r="H288" s="42">
        <v>362.05</v>
      </c>
      <c r="I288" s="42">
        <v>240.85</v>
      </c>
      <c r="J288" s="42">
        <v>277.77</v>
      </c>
      <c r="K288" s="40" t="s">
        <v>23</v>
      </c>
    </row>
    <row r="289" spans="1:11" x14ac:dyDescent="0.3">
      <c r="A289" s="40" t="s">
        <v>315</v>
      </c>
      <c r="B289" s="40" t="s">
        <v>12</v>
      </c>
      <c r="C289" s="40" t="s">
        <v>13</v>
      </c>
      <c r="D289" s="40" t="s">
        <v>28</v>
      </c>
      <c r="E289" s="40" t="s">
        <v>19</v>
      </c>
      <c r="F289" s="41">
        <v>7</v>
      </c>
      <c r="G289" s="42">
        <v>962.28</v>
      </c>
      <c r="H289" s="42">
        <v>142.11000000000001</v>
      </c>
      <c r="I289" s="42">
        <v>127.54</v>
      </c>
      <c r="J289" s="42">
        <v>111.4</v>
      </c>
      <c r="K289" s="40" t="s">
        <v>16</v>
      </c>
    </row>
    <row r="290" spans="1:11" x14ac:dyDescent="0.3">
      <c r="A290" s="40" t="s">
        <v>316</v>
      </c>
      <c r="B290" s="40" t="s">
        <v>12</v>
      </c>
      <c r="C290" s="40" t="s">
        <v>13</v>
      </c>
      <c r="D290" s="40" t="s">
        <v>14</v>
      </c>
      <c r="E290" s="40" t="s">
        <v>15</v>
      </c>
      <c r="F290" s="41">
        <v>10</v>
      </c>
      <c r="G290" s="42">
        <v>1682.42</v>
      </c>
      <c r="H290" s="42">
        <v>291.67</v>
      </c>
      <c r="I290" s="42">
        <v>223.51</v>
      </c>
      <c r="J290" s="42">
        <v>201.26</v>
      </c>
      <c r="K290" s="40" t="s">
        <v>23</v>
      </c>
    </row>
    <row r="291" spans="1:11" x14ac:dyDescent="0.3">
      <c r="A291" s="40" t="s">
        <v>317</v>
      </c>
      <c r="B291" s="40" t="s">
        <v>25</v>
      </c>
      <c r="C291" s="40" t="s">
        <v>26</v>
      </c>
      <c r="D291" s="40" t="s">
        <v>30</v>
      </c>
      <c r="E291" s="40" t="s">
        <v>19</v>
      </c>
      <c r="F291" s="41">
        <v>14</v>
      </c>
      <c r="G291" s="42">
        <v>955.48</v>
      </c>
      <c r="H291" s="42">
        <v>229.56</v>
      </c>
      <c r="I291" s="42">
        <v>141.16999999999999</v>
      </c>
      <c r="J291" s="42">
        <v>100.68</v>
      </c>
      <c r="K291" s="40" t="s">
        <v>20</v>
      </c>
    </row>
    <row r="292" spans="1:11" x14ac:dyDescent="0.3">
      <c r="A292" s="40" t="s">
        <v>318</v>
      </c>
      <c r="B292" s="40" t="s">
        <v>25</v>
      </c>
      <c r="C292" s="40" t="s">
        <v>26</v>
      </c>
      <c r="D292" s="40" t="s">
        <v>30</v>
      </c>
      <c r="E292" s="40" t="s">
        <v>19</v>
      </c>
      <c r="F292" s="41">
        <v>6</v>
      </c>
      <c r="G292" s="42">
        <v>444.33</v>
      </c>
      <c r="H292" s="42">
        <v>72.459999999999994</v>
      </c>
      <c r="I292" s="42">
        <v>65.5</v>
      </c>
      <c r="J292" s="42">
        <v>39.96</v>
      </c>
      <c r="K292" s="40" t="s">
        <v>23</v>
      </c>
    </row>
    <row r="293" spans="1:11" x14ac:dyDescent="0.3">
      <c r="A293" s="40" t="s">
        <v>319</v>
      </c>
      <c r="B293" s="40" t="s">
        <v>25</v>
      </c>
      <c r="C293" s="40" t="s">
        <v>26</v>
      </c>
      <c r="D293" s="40" t="s">
        <v>28</v>
      </c>
      <c r="E293" s="40" t="s">
        <v>19</v>
      </c>
      <c r="F293" s="41">
        <v>12</v>
      </c>
      <c r="G293" s="42">
        <v>1495.08</v>
      </c>
      <c r="H293" s="42">
        <v>248.19</v>
      </c>
      <c r="I293" s="42">
        <v>198.75</v>
      </c>
      <c r="J293" s="42">
        <v>229.65</v>
      </c>
      <c r="K293" s="40" t="s">
        <v>20</v>
      </c>
    </row>
    <row r="294" spans="1:11" x14ac:dyDescent="0.3">
      <c r="A294" s="40" t="s">
        <v>320</v>
      </c>
      <c r="B294" s="40" t="s">
        <v>12</v>
      </c>
      <c r="C294" s="40" t="s">
        <v>13</v>
      </c>
      <c r="D294" s="40" t="s">
        <v>30</v>
      </c>
      <c r="E294" s="40" t="s">
        <v>19</v>
      </c>
      <c r="F294" s="41">
        <v>9</v>
      </c>
      <c r="G294" s="42">
        <v>643.77</v>
      </c>
      <c r="H294" s="42">
        <v>134.46</v>
      </c>
      <c r="I294" s="42">
        <v>72.03</v>
      </c>
      <c r="J294" s="42">
        <v>61.23</v>
      </c>
      <c r="K294" s="40" t="s">
        <v>16</v>
      </c>
    </row>
    <row r="295" spans="1:11" x14ac:dyDescent="0.3">
      <c r="A295" s="40" t="s">
        <v>321</v>
      </c>
      <c r="B295" s="40" t="s">
        <v>12</v>
      </c>
      <c r="C295" s="40" t="s">
        <v>13</v>
      </c>
      <c r="D295" s="40" t="s">
        <v>35</v>
      </c>
      <c r="E295" s="40" t="s">
        <v>19</v>
      </c>
      <c r="F295" s="41">
        <v>4</v>
      </c>
      <c r="G295" s="42">
        <v>312.56</v>
      </c>
      <c r="H295" s="42">
        <v>72.5</v>
      </c>
      <c r="I295" s="42">
        <v>52.61</v>
      </c>
      <c r="J295" s="42">
        <v>38.83</v>
      </c>
      <c r="K295" s="40" t="s">
        <v>16</v>
      </c>
    </row>
    <row r="296" spans="1:11" x14ac:dyDescent="0.3">
      <c r="A296" s="40" t="s">
        <v>322</v>
      </c>
      <c r="B296" s="40" t="s">
        <v>33</v>
      </c>
      <c r="C296" s="40" t="s">
        <v>34</v>
      </c>
      <c r="D296" s="40" t="s">
        <v>18</v>
      </c>
      <c r="E296" s="40" t="s">
        <v>19</v>
      </c>
      <c r="F296" s="41">
        <v>7</v>
      </c>
      <c r="G296" s="42">
        <v>998.36</v>
      </c>
      <c r="H296" s="42">
        <v>191.75</v>
      </c>
      <c r="I296" s="42">
        <v>147.33000000000001</v>
      </c>
      <c r="J296" s="42">
        <v>99.36</v>
      </c>
      <c r="K296" s="40" t="s">
        <v>23</v>
      </c>
    </row>
    <row r="297" spans="1:11" x14ac:dyDescent="0.3">
      <c r="A297" s="40" t="s">
        <v>323</v>
      </c>
      <c r="B297" s="40" t="s">
        <v>12</v>
      </c>
      <c r="C297" s="40" t="s">
        <v>13</v>
      </c>
      <c r="D297" s="40" t="s">
        <v>28</v>
      </c>
      <c r="E297" s="40" t="s">
        <v>19</v>
      </c>
      <c r="F297" s="41">
        <v>1</v>
      </c>
      <c r="G297" s="42">
        <v>136.1</v>
      </c>
      <c r="H297" s="42">
        <v>25.28</v>
      </c>
      <c r="I297" s="42">
        <v>19.84</v>
      </c>
      <c r="J297" s="42">
        <v>18.809999999999999</v>
      </c>
      <c r="K297" s="40" t="s">
        <v>23</v>
      </c>
    </row>
    <row r="298" spans="1:11" x14ac:dyDescent="0.3">
      <c r="A298" s="40" t="s">
        <v>324</v>
      </c>
      <c r="B298" s="40" t="s">
        <v>25</v>
      </c>
      <c r="C298" s="40" t="s">
        <v>26</v>
      </c>
      <c r="D298" s="40" t="s">
        <v>28</v>
      </c>
      <c r="E298" s="40" t="s">
        <v>19</v>
      </c>
      <c r="F298" s="41">
        <v>2</v>
      </c>
      <c r="G298" s="42">
        <v>282.64999999999998</v>
      </c>
      <c r="H298" s="42">
        <v>47.6</v>
      </c>
      <c r="I298" s="42">
        <v>31.77</v>
      </c>
      <c r="J298" s="42">
        <v>33.36</v>
      </c>
      <c r="K298" s="40" t="s">
        <v>16</v>
      </c>
    </row>
    <row r="299" spans="1:11" x14ac:dyDescent="0.3">
      <c r="A299" s="40" t="s">
        <v>325</v>
      </c>
      <c r="B299" s="40" t="s">
        <v>25</v>
      </c>
      <c r="C299" s="40" t="s">
        <v>26</v>
      </c>
      <c r="D299" s="40" t="s">
        <v>30</v>
      </c>
      <c r="E299" s="40" t="s">
        <v>19</v>
      </c>
      <c r="F299" s="41">
        <v>13</v>
      </c>
      <c r="G299" s="42">
        <v>900.71</v>
      </c>
      <c r="H299" s="42">
        <v>173.31</v>
      </c>
      <c r="I299" s="42">
        <v>110.26</v>
      </c>
      <c r="J299" s="42">
        <v>93.56</v>
      </c>
      <c r="K299" s="40" t="s">
        <v>16</v>
      </c>
    </row>
    <row r="300" spans="1:11" x14ac:dyDescent="0.3">
      <c r="A300" s="40" t="s">
        <v>326</v>
      </c>
      <c r="B300" s="40" t="s">
        <v>12</v>
      </c>
      <c r="C300" s="40" t="s">
        <v>13</v>
      </c>
      <c r="D300" s="40" t="s">
        <v>14</v>
      </c>
      <c r="E300" s="40" t="s">
        <v>15</v>
      </c>
      <c r="F300" s="41">
        <v>1</v>
      </c>
      <c r="G300" s="42">
        <v>153.71</v>
      </c>
      <c r="H300" s="42">
        <v>28.13</v>
      </c>
      <c r="I300" s="42">
        <v>21.72</v>
      </c>
      <c r="J300" s="42">
        <v>24.65</v>
      </c>
      <c r="K300" s="40" t="s">
        <v>20</v>
      </c>
    </row>
    <row r="301" spans="1:11" x14ac:dyDescent="0.3">
      <c r="A301" s="40" t="s">
        <v>327</v>
      </c>
      <c r="B301" s="40" t="s">
        <v>33</v>
      </c>
      <c r="C301" s="40" t="s">
        <v>34</v>
      </c>
      <c r="D301" s="40" t="s">
        <v>14</v>
      </c>
      <c r="E301" s="40" t="s">
        <v>15</v>
      </c>
      <c r="F301" s="41">
        <v>2</v>
      </c>
      <c r="G301" s="42">
        <v>306.47000000000003</v>
      </c>
      <c r="H301" s="42">
        <v>57.79</v>
      </c>
      <c r="I301" s="42">
        <v>45.19</v>
      </c>
      <c r="J301" s="42">
        <v>48.3</v>
      </c>
      <c r="K301" s="40" t="s">
        <v>16</v>
      </c>
    </row>
  </sheetData>
  <dataValidations count="4">
    <dataValidation type="list" allowBlank="1" showInputMessage="1" showErrorMessage="1" sqref="K2:K1048576" xr:uid="{C05874E0-DF98-4AE9-AFB6-D91E4CBBBB33}">
      <formula1>"Berlin,Munich,Hamburg"</formula1>
    </dataValidation>
    <dataValidation type="list" allowBlank="1" showInputMessage="1" showErrorMessage="1" sqref="C2:C1048576" xr:uid="{7C72B537-0C62-429B-9888-4024A7B4C5A6}">
      <formula1>"January,February,March"</formula1>
    </dataValidation>
    <dataValidation type="list" allowBlank="1" showInputMessage="1" showErrorMessage="1" sqref="E2:E1048576" xr:uid="{2B1F771C-DF16-45C7-B878-EE0064BA7125}">
      <formula1>"Combustion,Electric"</formula1>
    </dataValidation>
    <dataValidation type="list" allowBlank="1" showInputMessage="1" showErrorMessage="1" sqref="D2:D1048576" xr:uid="{94040477-94A4-42B5-B332-D15D172ECA11}">
      <formula1>"A-Class,C-Class,E-Class,EQS,GLE,Sprinter"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D6A29-DB60-476F-95D4-20F85E356511}">
  <sheetPr codeName="Sheet2"/>
  <dimension ref="A1:F19"/>
  <sheetViews>
    <sheetView workbookViewId="0"/>
  </sheetViews>
  <sheetFormatPr defaultRowHeight="14.4" x14ac:dyDescent="0.3"/>
  <cols>
    <col min="1" max="1" width="15.109375" customWidth="1"/>
    <col min="2" max="2" width="8.44140625" customWidth="1"/>
    <col min="3" max="3" width="24.33203125" customWidth="1"/>
    <col min="4" max="4" width="28.6640625" customWidth="1"/>
    <col min="5" max="5" width="26.21875" customWidth="1"/>
    <col min="6" max="6" width="22.88671875" customWidth="1"/>
  </cols>
  <sheetData>
    <row r="1" spans="1:6" x14ac:dyDescent="0.3">
      <c r="A1" t="s">
        <v>3</v>
      </c>
      <c r="B1" t="s">
        <v>2</v>
      </c>
      <c r="C1" t="s">
        <v>328</v>
      </c>
      <c r="D1" t="s">
        <v>329</v>
      </c>
      <c r="E1" t="s">
        <v>330</v>
      </c>
      <c r="F1" t="s">
        <v>331</v>
      </c>
    </row>
    <row r="2" spans="1:6" x14ac:dyDescent="0.3">
      <c r="A2" t="s">
        <v>30</v>
      </c>
      <c r="B2" t="s">
        <v>13</v>
      </c>
      <c r="C2">
        <v>8500</v>
      </c>
      <c r="D2">
        <v>2200</v>
      </c>
      <c r="E2">
        <v>1400</v>
      </c>
      <c r="F2">
        <v>145</v>
      </c>
    </row>
    <row r="3" spans="1:6" x14ac:dyDescent="0.3">
      <c r="A3" t="s">
        <v>30</v>
      </c>
      <c r="B3" t="s">
        <v>34</v>
      </c>
      <c r="C3">
        <v>8200</v>
      </c>
      <c r="D3">
        <v>2100</v>
      </c>
      <c r="E3">
        <v>1350</v>
      </c>
      <c r="F3">
        <v>140</v>
      </c>
    </row>
    <row r="4" spans="1:6" x14ac:dyDescent="0.3">
      <c r="A4" t="s">
        <v>30</v>
      </c>
      <c r="B4" t="s">
        <v>26</v>
      </c>
      <c r="C4">
        <v>9000</v>
      </c>
      <c r="D4">
        <v>2300</v>
      </c>
      <c r="E4">
        <v>1500</v>
      </c>
      <c r="F4">
        <v>155</v>
      </c>
    </row>
    <row r="5" spans="1:6" x14ac:dyDescent="0.3">
      <c r="A5" t="s">
        <v>35</v>
      </c>
      <c r="B5" t="s">
        <v>13</v>
      </c>
      <c r="C5">
        <v>11500</v>
      </c>
      <c r="D5">
        <v>2900</v>
      </c>
      <c r="E5">
        <v>1800</v>
      </c>
      <c r="F5">
        <v>140</v>
      </c>
    </row>
    <row r="6" spans="1:6" x14ac:dyDescent="0.3">
      <c r="A6" t="s">
        <v>35</v>
      </c>
      <c r="B6" t="s">
        <v>34</v>
      </c>
      <c r="C6">
        <v>11000</v>
      </c>
      <c r="D6">
        <v>2800</v>
      </c>
      <c r="E6">
        <v>1750</v>
      </c>
      <c r="F6">
        <v>135</v>
      </c>
    </row>
    <row r="7" spans="1:6" x14ac:dyDescent="0.3">
      <c r="A7" t="s">
        <v>35</v>
      </c>
      <c r="B7" t="s">
        <v>26</v>
      </c>
      <c r="C7">
        <v>12000</v>
      </c>
      <c r="D7">
        <v>3000</v>
      </c>
      <c r="E7">
        <v>1900</v>
      </c>
      <c r="F7">
        <v>148</v>
      </c>
    </row>
    <row r="8" spans="1:6" x14ac:dyDescent="0.3">
      <c r="A8" t="s">
        <v>22</v>
      </c>
      <c r="B8" t="s">
        <v>13</v>
      </c>
      <c r="C8">
        <v>16000</v>
      </c>
      <c r="D8">
        <v>3800</v>
      </c>
      <c r="E8">
        <v>2400</v>
      </c>
      <c r="F8">
        <v>148</v>
      </c>
    </row>
    <row r="9" spans="1:6" x14ac:dyDescent="0.3">
      <c r="A9" t="s">
        <v>22</v>
      </c>
      <c r="B9" t="s">
        <v>34</v>
      </c>
      <c r="C9">
        <v>15500</v>
      </c>
      <c r="D9">
        <v>3700</v>
      </c>
      <c r="E9">
        <v>2300</v>
      </c>
      <c r="F9">
        <v>143</v>
      </c>
    </row>
    <row r="10" spans="1:6" x14ac:dyDescent="0.3">
      <c r="A10" t="s">
        <v>22</v>
      </c>
      <c r="B10" t="s">
        <v>26</v>
      </c>
      <c r="C10">
        <v>17000</v>
      </c>
      <c r="D10">
        <v>4000</v>
      </c>
      <c r="E10">
        <v>2500</v>
      </c>
      <c r="F10">
        <v>155</v>
      </c>
    </row>
    <row r="11" spans="1:6" x14ac:dyDescent="0.3">
      <c r="A11" t="s">
        <v>14</v>
      </c>
      <c r="B11" t="s">
        <v>13</v>
      </c>
      <c r="C11">
        <v>22000</v>
      </c>
      <c r="D11">
        <v>4500</v>
      </c>
      <c r="E11">
        <v>3200</v>
      </c>
      <c r="F11">
        <v>140</v>
      </c>
    </row>
    <row r="12" spans="1:6" x14ac:dyDescent="0.3">
      <c r="A12" t="s">
        <v>14</v>
      </c>
      <c r="B12" t="s">
        <v>34</v>
      </c>
      <c r="C12">
        <v>21000</v>
      </c>
      <c r="D12">
        <v>4300</v>
      </c>
      <c r="E12">
        <v>3100</v>
      </c>
      <c r="F12">
        <v>135</v>
      </c>
    </row>
    <row r="13" spans="1:6" x14ac:dyDescent="0.3">
      <c r="A13" t="s">
        <v>14</v>
      </c>
      <c r="B13" t="s">
        <v>26</v>
      </c>
      <c r="C13">
        <v>23500</v>
      </c>
      <c r="D13">
        <v>4700</v>
      </c>
      <c r="E13">
        <v>3400</v>
      </c>
      <c r="F13">
        <v>148</v>
      </c>
    </row>
    <row r="14" spans="1:6" x14ac:dyDescent="0.3">
      <c r="A14" t="s">
        <v>28</v>
      </c>
      <c r="B14" t="s">
        <v>13</v>
      </c>
      <c r="C14">
        <v>19000</v>
      </c>
      <c r="D14">
        <v>4000</v>
      </c>
      <c r="E14">
        <v>2800</v>
      </c>
      <c r="F14">
        <v>145</v>
      </c>
    </row>
    <row r="15" spans="1:6" x14ac:dyDescent="0.3">
      <c r="A15" t="s">
        <v>28</v>
      </c>
      <c r="B15" t="s">
        <v>34</v>
      </c>
      <c r="C15">
        <v>18500</v>
      </c>
      <c r="D15">
        <v>3900</v>
      </c>
      <c r="E15">
        <v>2700</v>
      </c>
      <c r="F15">
        <v>140</v>
      </c>
    </row>
    <row r="16" spans="1:6" x14ac:dyDescent="0.3">
      <c r="A16" t="s">
        <v>28</v>
      </c>
      <c r="B16" t="s">
        <v>26</v>
      </c>
      <c r="C16">
        <v>20000</v>
      </c>
      <c r="D16">
        <v>4200</v>
      </c>
      <c r="E16">
        <v>2900</v>
      </c>
      <c r="F16">
        <v>152</v>
      </c>
    </row>
    <row r="17" spans="1:6" x14ac:dyDescent="0.3">
      <c r="A17" t="s">
        <v>18</v>
      </c>
      <c r="B17" t="s">
        <v>13</v>
      </c>
      <c r="C17">
        <v>20000</v>
      </c>
      <c r="D17">
        <v>5200</v>
      </c>
      <c r="E17">
        <v>3300</v>
      </c>
      <c r="F17">
        <v>140</v>
      </c>
    </row>
    <row r="18" spans="1:6" x14ac:dyDescent="0.3">
      <c r="A18" t="s">
        <v>18</v>
      </c>
      <c r="B18" t="s">
        <v>34</v>
      </c>
      <c r="C18">
        <v>19500</v>
      </c>
      <c r="D18">
        <v>5000</v>
      </c>
      <c r="E18">
        <v>3200</v>
      </c>
      <c r="F18">
        <v>136</v>
      </c>
    </row>
    <row r="19" spans="1:6" x14ac:dyDescent="0.3">
      <c r="A19" t="s">
        <v>18</v>
      </c>
      <c r="B19" t="s">
        <v>26</v>
      </c>
      <c r="C19">
        <v>21500</v>
      </c>
      <c r="D19">
        <v>5400</v>
      </c>
      <c r="E19">
        <v>3500</v>
      </c>
      <c r="F19">
        <v>150</v>
      </c>
    </row>
  </sheetData>
  <dataValidations count="2">
    <dataValidation type="list" allowBlank="1" showInputMessage="1" showErrorMessage="1" sqref="A2:A1048576" xr:uid="{405F1AAA-3D4B-4D56-BD94-C2E5B9EAE63B}">
      <formula1>"A-Class,C-Class,E-Class,EQS,GLE,Sprinter"</formula1>
    </dataValidation>
    <dataValidation type="list" allowBlank="1" showInputMessage="1" showErrorMessage="1" sqref="B2:B1048576" xr:uid="{3E78F156-36F2-4B48-BC2B-D73321EA2ACA}">
      <formula1>"January,February,March"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2361-EE02-460D-AE47-B7989183D65F}">
  <sheetPr codeName="Sheet3"/>
  <dimension ref="A1:G44"/>
  <sheetViews>
    <sheetView workbookViewId="0"/>
  </sheetViews>
  <sheetFormatPr defaultRowHeight="14.4" x14ac:dyDescent="0.3"/>
  <cols>
    <col min="1" max="1" width="18.77734375" customWidth="1"/>
    <col min="2" max="5" width="16.77734375" customWidth="1"/>
  </cols>
  <sheetData>
    <row r="1" spans="1:7" s="21" customFormat="1" x14ac:dyDescent="0.3">
      <c r="A1" s="21" t="s">
        <v>3</v>
      </c>
      <c r="B1" s="21" t="s">
        <v>13</v>
      </c>
      <c r="C1" s="21" t="s">
        <v>34</v>
      </c>
      <c r="D1" s="21" t="s">
        <v>26</v>
      </c>
      <c r="E1" s="21" t="s">
        <v>332</v>
      </c>
      <c r="G1" s="21" t="s">
        <v>333</v>
      </c>
    </row>
    <row r="2" spans="1:7" x14ac:dyDescent="0.3">
      <c r="A2" t="s">
        <v>30</v>
      </c>
      <c r="B2" s="22">
        <f>SUMIFS(tbl_RawData[Revenue_EUR],tbl_RawData[Vehicle_Class],$A2,tbl_RawData[Month],B$1)</f>
        <v>6963.2199999999993</v>
      </c>
      <c r="C2" s="22">
        <f>SUMIFS(tbl_RawData[Revenue_EUR],tbl_RawData[Vehicle_Class],$A2,tbl_RawData[Month],C$1)</f>
        <v>8908.7400000000016</v>
      </c>
      <c r="D2" s="22">
        <f>SUMIFS(tbl_RawData[Revenue_EUR],tbl_RawData[Vehicle_Class],$A2,tbl_RawData[Month],D$1)</f>
        <v>11766.010000000002</v>
      </c>
      <c r="E2" s="22">
        <f>SUM(B2:D2)</f>
        <v>27637.97</v>
      </c>
    </row>
    <row r="3" spans="1:7" x14ac:dyDescent="0.3">
      <c r="A3" t="s">
        <v>35</v>
      </c>
      <c r="B3" s="22">
        <f>SUMIFS(tbl_RawData[Revenue_EUR],tbl_RawData[Vehicle_Class],$A3,tbl_RawData[Month],B$1)</f>
        <v>14481.97</v>
      </c>
      <c r="C3" s="22">
        <f>SUMIFS(tbl_RawData[Revenue_EUR],tbl_RawData[Vehicle_Class],$A3,tbl_RawData[Month],C$1)</f>
        <v>13815.100000000002</v>
      </c>
      <c r="D3" s="22">
        <f>SUMIFS(tbl_RawData[Revenue_EUR],tbl_RawData[Vehicle_Class],$A3,tbl_RawData[Month],D$1)</f>
        <v>6801.44</v>
      </c>
      <c r="E3" s="22">
        <f t="shared" ref="E3:E8" si="0">SUM(B3:D3)</f>
        <v>35098.51</v>
      </c>
    </row>
    <row r="4" spans="1:7" x14ac:dyDescent="0.3">
      <c r="A4" t="s">
        <v>22</v>
      </c>
      <c r="B4" s="22">
        <f>SUMIFS(tbl_RawData[Revenue_EUR],tbl_RawData[Vehicle_Class],$A4,tbl_RawData[Month],B$1)</f>
        <v>13225.720000000001</v>
      </c>
      <c r="C4" s="22">
        <f>SUMIFS(tbl_RawData[Revenue_EUR],tbl_RawData[Vehicle_Class],$A4,tbl_RawData[Month],C$1)</f>
        <v>12580.480000000001</v>
      </c>
      <c r="D4" s="22">
        <f>SUMIFS(tbl_RawData[Revenue_EUR],tbl_RawData[Vehicle_Class],$A4,tbl_RawData[Month],D$1)</f>
        <v>13256.89</v>
      </c>
      <c r="E4" s="22">
        <f t="shared" si="0"/>
        <v>39063.090000000004</v>
      </c>
    </row>
    <row r="5" spans="1:7" x14ac:dyDescent="0.3">
      <c r="A5" t="s">
        <v>14</v>
      </c>
      <c r="B5" s="22">
        <f>SUMIFS(tbl_RawData[Revenue_EUR],tbl_RawData[Vehicle_Class],$A5,tbl_RawData[Month],B$1)</f>
        <v>18195.18</v>
      </c>
      <c r="C5" s="22">
        <f>SUMIFS(tbl_RawData[Revenue_EUR],tbl_RawData[Vehicle_Class],$A5,tbl_RawData[Month],C$1)</f>
        <v>24653.480000000003</v>
      </c>
      <c r="D5" s="22">
        <f>SUMIFS(tbl_RawData[Revenue_EUR],tbl_RawData[Vehicle_Class],$A5,tbl_RawData[Month],D$1)</f>
        <v>22296.55</v>
      </c>
      <c r="E5" s="22">
        <f t="shared" si="0"/>
        <v>65145.210000000006</v>
      </c>
    </row>
    <row r="6" spans="1:7" x14ac:dyDescent="0.3">
      <c r="A6" t="s">
        <v>28</v>
      </c>
      <c r="B6" s="22">
        <f>SUMIFS(tbl_RawData[Revenue_EUR],tbl_RawData[Vehicle_Class],$A6,tbl_RawData[Month],B$1)</f>
        <v>14797.470000000001</v>
      </c>
      <c r="C6" s="22">
        <f>SUMIFS(tbl_RawData[Revenue_EUR],tbl_RawData[Vehicle_Class],$A6,tbl_RawData[Month],C$1)</f>
        <v>12002.300000000003</v>
      </c>
      <c r="D6" s="22">
        <f>SUMIFS(tbl_RawData[Revenue_EUR],tbl_RawData[Vehicle_Class],$A6,tbl_RawData[Month],D$1)</f>
        <v>18079.990000000002</v>
      </c>
      <c r="E6" s="22">
        <f t="shared" si="0"/>
        <v>44879.760000000009</v>
      </c>
    </row>
    <row r="7" spans="1:7" x14ac:dyDescent="0.3">
      <c r="A7" t="s">
        <v>18</v>
      </c>
      <c r="B7" s="22">
        <f>SUMIFS(tbl_RawData[Revenue_EUR],tbl_RawData[Vehicle_Class],$A7,tbl_RawData[Month],B$1)</f>
        <v>19569.45</v>
      </c>
      <c r="C7" s="22">
        <f>SUMIFS(tbl_RawData[Revenue_EUR],tbl_RawData[Vehicle_Class],$A7,tbl_RawData[Month],C$1)</f>
        <v>22654.37</v>
      </c>
      <c r="D7" s="22">
        <f>SUMIFS(tbl_RawData[Revenue_EUR],tbl_RawData[Vehicle_Class],$A7,tbl_RawData[Month],D$1)</f>
        <v>17906.63</v>
      </c>
      <c r="E7" s="22">
        <f t="shared" si="0"/>
        <v>60130.45</v>
      </c>
    </row>
    <row r="8" spans="1:7" s="15" customFormat="1" x14ac:dyDescent="0.3">
      <c r="A8" s="15" t="s">
        <v>332</v>
      </c>
      <c r="B8" s="29">
        <f>SUM(B2:B7)</f>
        <v>87233.01</v>
      </c>
      <c r="C8" s="29">
        <f t="shared" ref="C8:D8" si="1">SUM(C2:C7)</f>
        <v>94614.47</v>
      </c>
      <c r="D8" s="29">
        <f t="shared" si="1"/>
        <v>90107.510000000009</v>
      </c>
      <c r="E8" s="29">
        <f t="shared" si="0"/>
        <v>271954.99</v>
      </c>
    </row>
    <row r="10" spans="1:7" s="21" customFormat="1" x14ac:dyDescent="0.3">
      <c r="A10" s="21" t="s">
        <v>3</v>
      </c>
      <c r="B10" s="21" t="s">
        <v>13</v>
      </c>
      <c r="C10" s="21" t="s">
        <v>34</v>
      </c>
      <c r="D10" s="21" t="s">
        <v>26</v>
      </c>
      <c r="E10" s="21" t="s">
        <v>332</v>
      </c>
      <c r="G10" s="21" t="s">
        <v>334</v>
      </c>
    </row>
    <row r="11" spans="1:7" x14ac:dyDescent="0.3">
      <c r="A11" t="s">
        <v>30</v>
      </c>
      <c r="B11" s="22">
        <f>SUMIFS(tbl_RawData[Variable_Cost_EUR],tbl_RawData[Vehicle_Class],$A11,tbl_RawData[Month],B$10)+SUMIFS(tbl_RawData[Fixed_Cost_Allocation_EUR],tbl_RawData[Vehicle_Class],$A11,tbl_RawData[Month],B$10)+SUMIFS(tbl_RawData[Depreciation_EUR],tbl_RawData[Vehicle_Class],$A11,tbl_RawData[Month],B$10)</f>
        <v>3277.37</v>
      </c>
      <c r="C11" s="22">
        <f>SUMIFS(tbl_RawData[Variable_Cost_EUR],tbl_RawData[Vehicle_Class],$A11,tbl_RawData[Month],C$10)+SUMIFS(tbl_RawData[Fixed_Cost_Allocation_EUR],tbl_RawData[Vehicle_Class],$A11,tbl_RawData[Month],C$10)+SUMIFS(tbl_RawData[Depreciation_EUR],tbl_RawData[Vehicle_Class],$A11,tbl_RawData[Month],C$10)</f>
        <v>4452.16</v>
      </c>
      <c r="D11" s="22">
        <f>SUMIFS(tbl_RawData[Variable_Cost_EUR],tbl_RawData[Vehicle_Class],$A11,tbl_RawData[Month],D$10)+SUMIFS(tbl_RawData[Fixed_Cost_Allocation_EUR],tbl_RawData[Vehicle_Class],$A11,tbl_RawData[Month],D$10)+SUMIFS(tbl_RawData[Depreciation_EUR],tbl_RawData[Vehicle_Class],$A11,tbl_RawData[Month],D$10)</f>
        <v>5508.23</v>
      </c>
      <c r="E11" s="22">
        <f>SUM(B11:D11)</f>
        <v>13237.759999999998</v>
      </c>
    </row>
    <row r="12" spans="1:7" x14ac:dyDescent="0.3">
      <c r="A12" t="s">
        <v>35</v>
      </c>
      <c r="B12" s="22">
        <f>SUMIFS(tbl_RawData[Variable_Cost_EUR],tbl_RawData[Vehicle_Class],$A12,tbl_RawData[Month],B$10)+SUMIFS(tbl_RawData[Fixed_Cost_Allocation_EUR],tbl_RawData[Vehicle_Class],$A12,tbl_RawData[Month],B$10)+SUMIFS(tbl_RawData[Depreciation_EUR],tbl_RawData[Vehicle_Class],$A12,tbl_RawData[Month],B$10)</f>
        <v>6708.08</v>
      </c>
      <c r="C12" s="22">
        <f>SUMIFS(tbl_RawData[Variable_Cost_EUR],tbl_RawData[Vehicle_Class],$A12,tbl_RawData[Month],C$10)+SUMIFS(tbl_RawData[Fixed_Cost_Allocation_EUR],tbl_RawData[Vehicle_Class],$A12,tbl_RawData[Month],C$10)+SUMIFS(tbl_RawData[Depreciation_EUR],tbl_RawData[Vehicle_Class],$A12,tbl_RawData[Month],C$10)</f>
        <v>6542.45</v>
      </c>
      <c r="D12" s="22">
        <f>SUMIFS(tbl_RawData[Variable_Cost_EUR],tbl_RawData[Vehicle_Class],$A12,tbl_RawData[Month],D$10)+SUMIFS(tbl_RawData[Fixed_Cost_Allocation_EUR],tbl_RawData[Vehicle_Class],$A12,tbl_RawData[Month],D$10)+SUMIFS(tbl_RawData[Depreciation_EUR],tbl_RawData[Vehicle_Class],$A12,tbl_RawData[Month],D$10)</f>
        <v>3179.2199999999993</v>
      </c>
      <c r="E12" s="22">
        <f t="shared" ref="E12:E17" si="2">SUM(B12:D12)</f>
        <v>16429.75</v>
      </c>
    </row>
    <row r="13" spans="1:7" x14ac:dyDescent="0.3">
      <c r="A13" t="s">
        <v>22</v>
      </c>
      <c r="B13" s="22">
        <f>SUMIFS(tbl_RawData[Variable_Cost_EUR],tbl_RawData[Vehicle_Class],$A13,tbl_RawData[Month],B$10)+SUMIFS(tbl_RawData[Fixed_Cost_Allocation_EUR],tbl_RawData[Vehicle_Class],$A13,tbl_RawData[Month],B$10)+SUMIFS(tbl_RawData[Depreciation_EUR],tbl_RawData[Vehicle_Class],$A13,tbl_RawData[Month],B$10)</f>
        <v>5946.1200000000008</v>
      </c>
      <c r="C13" s="22">
        <f>SUMIFS(tbl_RawData[Variable_Cost_EUR],tbl_RawData[Vehicle_Class],$A13,tbl_RawData[Month],C$10)+SUMIFS(tbl_RawData[Fixed_Cost_Allocation_EUR],tbl_RawData[Vehicle_Class],$A13,tbl_RawData[Month],C$10)+SUMIFS(tbl_RawData[Depreciation_EUR],tbl_RawData[Vehicle_Class],$A13,tbl_RawData[Month],C$10)</f>
        <v>5690.49</v>
      </c>
      <c r="D13" s="22">
        <f>SUMIFS(tbl_RawData[Variable_Cost_EUR],tbl_RawData[Vehicle_Class],$A13,tbl_RawData[Month],D$10)+SUMIFS(tbl_RawData[Fixed_Cost_Allocation_EUR],tbl_RawData[Vehicle_Class],$A13,tbl_RawData[Month],D$10)+SUMIFS(tbl_RawData[Depreciation_EUR],tbl_RawData[Vehicle_Class],$A13,tbl_RawData[Month],D$10)</f>
        <v>5897.83</v>
      </c>
      <c r="E13" s="22">
        <f t="shared" si="2"/>
        <v>17534.440000000002</v>
      </c>
    </row>
    <row r="14" spans="1:7" x14ac:dyDescent="0.3">
      <c r="A14" t="s">
        <v>14</v>
      </c>
      <c r="B14" s="22">
        <f>SUMIFS(tbl_RawData[Variable_Cost_EUR],tbl_RawData[Vehicle_Class],$A14,tbl_RawData[Month],B$10)+SUMIFS(tbl_RawData[Fixed_Cost_Allocation_EUR],tbl_RawData[Vehicle_Class],$A14,tbl_RawData[Month],B$10)+SUMIFS(tbl_RawData[Depreciation_EUR],tbl_RawData[Vehicle_Class],$A14,tbl_RawData[Month],B$10)</f>
        <v>8688.9500000000007</v>
      </c>
      <c r="C14" s="22">
        <f>SUMIFS(tbl_RawData[Variable_Cost_EUR],tbl_RawData[Vehicle_Class],$A14,tbl_RawData[Month],C$10)+SUMIFS(tbl_RawData[Fixed_Cost_Allocation_EUR],tbl_RawData[Vehicle_Class],$A14,tbl_RawData[Month],C$10)+SUMIFS(tbl_RawData[Depreciation_EUR],tbl_RawData[Vehicle_Class],$A14,tbl_RawData[Month],C$10)</f>
        <v>11090.3</v>
      </c>
      <c r="D14" s="22">
        <f>SUMIFS(tbl_RawData[Variable_Cost_EUR],tbl_RawData[Vehicle_Class],$A14,tbl_RawData[Month],D$10)+SUMIFS(tbl_RawData[Fixed_Cost_Allocation_EUR],tbl_RawData[Vehicle_Class],$A14,tbl_RawData[Month],D$10)+SUMIFS(tbl_RawData[Depreciation_EUR],tbl_RawData[Vehicle_Class],$A14,tbl_RawData[Month],D$10)</f>
        <v>10065.759999999998</v>
      </c>
      <c r="E14" s="22">
        <f t="shared" si="2"/>
        <v>29845.01</v>
      </c>
    </row>
    <row r="15" spans="1:7" x14ac:dyDescent="0.3">
      <c r="A15" t="s">
        <v>28</v>
      </c>
      <c r="B15" s="22">
        <f>SUMIFS(tbl_RawData[Variable_Cost_EUR],tbl_RawData[Vehicle_Class],$A15,tbl_RawData[Month],B$10)+SUMIFS(tbl_RawData[Fixed_Cost_Allocation_EUR],tbl_RawData[Vehicle_Class],$A15,tbl_RawData[Month],B$10)+SUMIFS(tbl_RawData[Depreciation_EUR],tbl_RawData[Vehicle_Class],$A15,tbl_RawData[Month],B$10)</f>
        <v>6282.7999999999993</v>
      </c>
      <c r="C15" s="22">
        <f>SUMIFS(tbl_RawData[Variable_Cost_EUR],tbl_RawData[Vehicle_Class],$A15,tbl_RawData[Month],C$10)+SUMIFS(tbl_RawData[Fixed_Cost_Allocation_EUR],tbl_RawData[Vehicle_Class],$A15,tbl_RawData[Month],C$10)+SUMIFS(tbl_RawData[Depreciation_EUR],tbl_RawData[Vehicle_Class],$A15,tbl_RawData[Month],C$10)</f>
        <v>5552.6299999999992</v>
      </c>
      <c r="D15" s="22">
        <f>SUMIFS(tbl_RawData[Variable_Cost_EUR],tbl_RawData[Vehicle_Class],$A15,tbl_RawData[Month],D$10)+SUMIFS(tbl_RawData[Fixed_Cost_Allocation_EUR],tbl_RawData[Vehicle_Class],$A15,tbl_RawData[Month],D$10)+SUMIFS(tbl_RawData[Depreciation_EUR],tbl_RawData[Vehicle_Class],$A15,tbl_RawData[Month],D$10)</f>
        <v>7808.18</v>
      </c>
      <c r="E15" s="22">
        <f t="shared" si="2"/>
        <v>19643.61</v>
      </c>
    </row>
    <row r="16" spans="1:7" x14ac:dyDescent="0.3">
      <c r="A16" t="s">
        <v>18</v>
      </c>
      <c r="B16" s="22">
        <f>SUMIFS(tbl_RawData[Variable_Cost_EUR],tbl_RawData[Vehicle_Class],$A16,tbl_RawData[Month],B$10)+SUMIFS(tbl_RawData[Fixed_Cost_Allocation_EUR],tbl_RawData[Vehicle_Class],$A16,tbl_RawData[Month],B$10)+SUMIFS(tbl_RawData[Depreciation_EUR],tbl_RawData[Vehicle_Class],$A16,tbl_RawData[Month],B$10)</f>
        <v>8757.409999999998</v>
      </c>
      <c r="C16" s="22">
        <f>SUMIFS(tbl_RawData[Variable_Cost_EUR],tbl_RawData[Vehicle_Class],$A16,tbl_RawData[Month],C$10)+SUMIFS(tbl_RawData[Fixed_Cost_Allocation_EUR],tbl_RawData[Vehicle_Class],$A16,tbl_RawData[Month],C$10)+SUMIFS(tbl_RawData[Depreciation_EUR],tbl_RawData[Vehicle_Class],$A16,tbl_RawData[Month],C$10)</f>
        <v>10210.49</v>
      </c>
      <c r="D16" s="22">
        <f>SUMIFS(tbl_RawData[Variable_Cost_EUR],tbl_RawData[Vehicle_Class],$A16,tbl_RawData[Month],D$10)+SUMIFS(tbl_RawData[Fixed_Cost_Allocation_EUR],tbl_RawData[Vehicle_Class],$A16,tbl_RawData[Month],D$10)+SUMIFS(tbl_RawData[Depreciation_EUR],tbl_RawData[Vehicle_Class],$A16,tbl_RawData[Month],D$10)</f>
        <v>7834.6100000000006</v>
      </c>
      <c r="E16" s="22">
        <f t="shared" si="2"/>
        <v>26802.51</v>
      </c>
    </row>
    <row r="17" spans="1:7" s="15" customFormat="1" x14ac:dyDescent="0.3">
      <c r="A17" s="15" t="s">
        <v>332</v>
      </c>
      <c r="B17" s="29">
        <f>SUM(B11:B16)</f>
        <v>39660.730000000003</v>
      </c>
      <c r="C17" s="29">
        <f t="shared" ref="C17:D17" si="3">SUM(C11:C16)</f>
        <v>43538.52</v>
      </c>
      <c r="D17" s="29">
        <f t="shared" si="3"/>
        <v>40293.83</v>
      </c>
      <c r="E17" s="29">
        <f t="shared" si="2"/>
        <v>123493.08</v>
      </c>
    </row>
    <row r="19" spans="1:7" s="21" customFormat="1" x14ac:dyDescent="0.3">
      <c r="A19" s="21" t="s">
        <v>3</v>
      </c>
      <c r="B19" s="21" t="s">
        <v>13</v>
      </c>
      <c r="C19" s="21" t="s">
        <v>34</v>
      </c>
      <c r="D19" s="21" t="s">
        <v>26</v>
      </c>
      <c r="E19" s="21" t="s">
        <v>332</v>
      </c>
      <c r="G19" s="21" t="s">
        <v>335</v>
      </c>
    </row>
    <row r="20" spans="1:7" x14ac:dyDescent="0.3">
      <c r="A20" t="s">
        <v>30</v>
      </c>
      <c r="B20" s="22">
        <f>B2-B11</f>
        <v>3685.8499999999995</v>
      </c>
      <c r="C20" s="22">
        <f>C2-C11</f>
        <v>4456.5800000000017</v>
      </c>
      <c r="D20" s="22">
        <f t="shared" ref="D20" si="4">D2-D11</f>
        <v>6257.7800000000025</v>
      </c>
      <c r="E20" s="22">
        <f>SUM(B20:D20)</f>
        <v>14400.210000000003</v>
      </c>
    </row>
    <row r="21" spans="1:7" x14ac:dyDescent="0.3">
      <c r="A21" t="s">
        <v>35</v>
      </c>
      <c r="B21" s="22">
        <f t="shared" ref="B21:D25" si="5">B3-B12</f>
        <v>7773.8899999999994</v>
      </c>
      <c r="C21" s="22">
        <f t="shared" si="5"/>
        <v>7272.6500000000024</v>
      </c>
      <c r="D21" s="22">
        <f t="shared" si="5"/>
        <v>3622.2200000000003</v>
      </c>
      <c r="E21" s="22">
        <f t="shared" ref="E21:E26" si="6">SUM(B21:D21)</f>
        <v>18668.760000000002</v>
      </c>
    </row>
    <row r="22" spans="1:7" x14ac:dyDescent="0.3">
      <c r="A22" t="s">
        <v>22</v>
      </c>
      <c r="B22" s="22">
        <f t="shared" si="5"/>
        <v>7279.6</v>
      </c>
      <c r="C22" s="22">
        <f t="shared" si="5"/>
        <v>6889.9900000000016</v>
      </c>
      <c r="D22" s="22">
        <f t="shared" si="5"/>
        <v>7359.0599999999995</v>
      </c>
      <c r="E22" s="22">
        <f t="shared" si="6"/>
        <v>21528.65</v>
      </c>
    </row>
    <row r="23" spans="1:7" x14ac:dyDescent="0.3">
      <c r="A23" t="s">
        <v>14</v>
      </c>
      <c r="B23" s="22">
        <f t="shared" si="5"/>
        <v>9506.23</v>
      </c>
      <c r="C23" s="22">
        <f t="shared" si="5"/>
        <v>13563.180000000004</v>
      </c>
      <c r="D23" s="22">
        <f t="shared" si="5"/>
        <v>12230.79</v>
      </c>
      <c r="E23" s="22">
        <f t="shared" si="6"/>
        <v>35300.200000000004</v>
      </c>
    </row>
    <row r="24" spans="1:7" x14ac:dyDescent="0.3">
      <c r="A24" t="s">
        <v>28</v>
      </c>
      <c r="B24" s="22">
        <f t="shared" si="5"/>
        <v>8514.6700000000019</v>
      </c>
      <c r="C24" s="22">
        <f t="shared" si="5"/>
        <v>6449.6700000000037</v>
      </c>
      <c r="D24" s="22">
        <f t="shared" si="5"/>
        <v>10271.810000000001</v>
      </c>
      <c r="E24" s="22">
        <f t="shared" si="6"/>
        <v>25236.150000000009</v>
      </c>
    </row>
    <row r="25" spans="1:7" x14ac:dyDescent="0.3">
      <c r="A25" t="s">
        <v>18</v>
      </c>
      <c r="B25" s="22">
        <f t="shared" si="5"/>
        <v>10812.040000000003</v>
      </c>
      <c r="C25" s="22">
        <f t="shared" si="5"/>
        <v>12443.88</v>
      </c>
      <c r="D25" s="22">
        <f t="shared" si="5"/>
        <v>10072.02</v>
      </c>
      <c r="E25" s="22">
        <f t="shared" si="6"/>
        <v>33327.94</v>
      </c>
    </row>
    <row r="26" spans="1:7" s="15" customFormat="1" x14ac:dyDescent="0.3">
      <c r="A26" s="15" t="s">
        <v>332</v>
      </c>
      <c r="B26" s="29">
        <f>SUM(B20:B25)</f>
        <v>47572.28</v>
      </c>
      <c r="C26" s="29">
        <f t="shared" ref="C26:D26" si="7">SUM(C20:C25)</f>
        <v>51075.950000000012</v>
      </c>
      <c r="D26" s="29">
        <f t="shared" si="7"/>
        <v>49813.680000000008</v>
      </c>
      <c r="E26" s="29">
        <f t="shared" si="6"/>
        <v>148461.91000000003</v>
      </c>
    </row>
    <row r="28" spans="1:7" s="21" customFormat="1" x14ac:dyDescent="0.3">
      <c r="A28" s="21" t="s">
        <v>3</v>
      </c>
      <c r="B28" s="21" t="s">
        <v>13</v>
      </c>
      <c r="C28" s="21" t="s">
        <v>34</v>
      </c>
      <c r="D28" s="21" t="s">
        <v>26</v>
      </c>
      <c r="E28" s="21" t="s">
        <v>332</v>
      </c>
      <c r="G28" s="21" t="s">
        <v>336</v>
      </c>
    </row>
    <row r="29" spans="1:7" x14ac:dyDescent="0.3">
      <c r="A29" t="s">
        <v>30</v>
      </c>
      <c r="B29" s="6">
        <f>IFERROR(B20/B2,0)</f>
        <v>0.52933125766527556</v>
      </c>
      <c r="C29" s="6">
        <f t="shared" ref="C29:D29" si="8">IFERROR(C20/C2,0)</f>
        <v>0.50024807099544955</v>
      </c>
      <c r="D29" s="6">
        <f t="shared" si="8"/>
        <v>0.53185234416764915</v>
      </c>
      <c r="E29" s="6">
        <f>IFERROR(E20/E2,0)</f>
        <v>0.52102994539758174</v>
      </c>
    </row>
    <row r="30" spans="1:7" x14ac:dyDescent="0.3">
      <c r="A30" t="s">
        <v>35</v>
      </c>
      <c r="B30" s="6">
        <f t="shared" ref="B30:E34" si="9">IFERROR(B21/B3,0)</f>
        <v>0.53679782515776509</v>
      </c>
      <c r="C30" s="6">
        <f t="shared" si="9"/>
        <v>0.52642760457759996</v>
      </c>
      <c r="D30" s="6">
        <f t="shared" si="9"/>
        <v>0.53256663294831685</v>
      </c>
      <c r="E30" s="6">
        <f t="shared" si="9"/>
        <v>0.53189608333801064</v>
      </c>
    </row>
    <row r="31" spans="1:7" x14ac:dyDescent="0.3">
      <c r="A31" t="s">
        <v>22</v>
      </c>
      <c r="B31" s="6">
        <f t="shared" si="9"/>
        <v>0.5504123783053021</v>
      </c>
      <c r="C31" s="6">
        <f t="shared" si="9"/>
        <v>0.54767306175916985</v>
      </c>
      <c r="D31" s="6">
        <f t="shared" si="9"/>
        <v>0.55511209642683912</v>
      </c>
      <c r="E31" s="6">
        <f t="shared" si="9"/>
        <v>0.5511251158062509</v>
      </c>
    </row>
    <row r="32" spans="1:7" x14ac:dyDescent="0.3">
      <c r="A32" t="s">
        <v>14</v>
      </c>
      <c r="B32" s="6">
        <f t="shared" si="9"/>
        <v>0.52245869510496734</v>
      </c>
      <c r="C32" s="6">
        <f t="shared" si="9"/>
        <v>0.55015275733892344</v>
      </c>
      <c r="D32" s="6">
        <f t="shared" si="9"/>
        <v>0.54855078476266517</v>
      </c>
      <c r="E32" s="6">
        <f t="shared" si="9"/>
        <v>0.54186946361827681</v>
      </c>
    </row>
    <row r="33" spans="1:7" x14ac:dyDescent="0.3">
      <c r="A33" t="s">
        <v>28</v>
      </c>
      <c r="B33" s="6">
        <f t="shared" si="9"/>
        <v>0.57541390521487801</v>
      </c>
      <c r="C33" s="6">
        <f t="shared" si="9"/>
        <v>0.53736950417836604</v>
      </c>
      <c r="D33" s="6">
        <f t="shared" si="9"/>
        <v>0.5681313983027646</v>
      </c>
      <c r="E33" s="6">
        <f t="shared" si="9"/>
        <v>0.56230581446959615</v>
      </c>
    </row>
    <row r="34" spans="1:7" x14ac:dyDescent="0.3">
      <c r="A34" t="s">
        <v>18</v>
      </c>
      <c r="B34" s="6">
        <f t="shared" si="9"/>
        <v>0.55249585450791938</v>
      </c>
      <c r="C34" s="6">
        <f t="shared" si="9"/>
        <v>0.54929269717056795</v>
      </c>
      <c r="D34" s="6">
        <f t="shared" si="9"/>
        <v>0.56247434609415614</v>
      </c>
      <c r="E34" s="6">
        <f t="shared" si="9"/>
        <v>0.55426061172001884</v>
      </c>
    </row>
    <row r="35" spans="1:7" s="15" customFormat="1" x14ac:dyDescent="0.3">
      <c r="A35" s="15" t="s">
        <v>332</v>
      </c>
      <c r="B35" s="16">
        <f>IFERROR(B26/B8,0)</f>
        <v>0.54534722578069927</v>
      </c>
      <c r="C35" s="16">
        <f t="shared" ref="C35:D35" si="10">IFERROR(C26/C8,0)</f>
        <v>0.53983233220034965</v>
      </c>
      <c r="D35" s="16">
        <f t="shared" si="10"/>
        <v>0.55282495321422154</v>
      </c>
      <c r="E35" s="16">
        <f>IFERROR(E26/E8,0)</f>
        <v>0.54590618101914601</v>
      </c>
    </row>
    <row r="37" spans="1:7" s="21" customFormat="1" x14ac:dyDescent="0.3">
      <c r="A37" s="21" t="s">
        <v>3</v>
      </c>
      <c r="B37" s="21" t="s">
        <v>13</v>
      </c>
      <c r="C37" s="21" t="s">
        <v>34</v>
      </c>
      <c r="D37" s="21" t="s">
        <v>26</v>
      </c>
      <c r="E37" s="21" t="s">
        <v>332</v>
      </c>
      <c r="G37" s="21" t="s">
        <v>337</v>
      </c>
    </row>
    <row r="38" spans="1:7" x14ac:dyDescent="0.3">
      <c r="A38" t="s">
        <v>30</v>
      </c>
      <c r="B38" s="14">
        <f>SUMIFS(tbl_RawData[Rental_Days],tbl_RawData[Vehicle_Class],$A38,tbl_RawData[Month],B$37)</f>
        <v>105</v>
      </c>
      <c r="C38" s="14">
        <f>SUMIFS(tbl_RawData[Rental_Days],tbl_RawData[Vehicle_Class],$A38,tbl_RawData[Month],C$37)</f>
        <v>135</v>
      </c>
      <c r="D38" s="14">
        <f>SUMIFS(tbl_RawData[Rental_Days],tbl_RawData[Vehicle_Class],$A38,tbl_RawData[Month],D$37)</f>
        <v>174</v>
      </c>
      <c r="E38" s="14">
        <f>SUM(B38:D38)</f>
        <v>414</v>
      </c>
    </row>
    <row r="39" spans="1:7" x14ac:dyDescent="0.3">
      <c r="A39" t="s">
        <v>35</v>
      </c>
      <c r="B39" s="14">
        <f>SUMIFS(tbl_RawData[Rental_Days],tbl_RawData[Vehicle_Class],$A39,tbl_RawData[Month],B$37)</f>
        <v>169</v>
      </c>
      <c r="C39" s="14">
        <f>SUMIFS(tbl_RawData[Rental_Days],tbl_RawData[Vehicle_Class],$A39,tbl_RawData[Month],C$37)</f>
        <v>163</v>
      </c>
      <c r="D39" s="14">
        <f>SUMIFS(tbl_RawData[Rental_Days],tbl_RawData[Vehicle_Class],$A39,tbl_RawData[Month],D$37)</f>
        <v>79</v>
      </c>
      <c r="E39" s="14">
        <f t="shared" ref="E39:E44" si="11">SUM(B39:D39)</f>
        <v>411</v>
      </c>
    </row>
    <row r="40" spans="1:7" x14ac:dyDescent="0.3">
      <c r="A40" t="s">
        <v>22</v>
      </c>
      <c r="B40" s="14">
        <f>SUMIFS(tbl_RawData[Rental_Days],tbl_RawData[Vehicle_Class],$A40,tbl_RawData[Month],B$37)</f>
        <v>117</v>
      </c>
      <c r="C40" s="14">
        <f>SUMIFS(tbl_RawData[Rental_Days],tbl_RawData[Vehicle_Class],$A40,tbl_RawData[Month],C$37)</f>
        <v>112</v>
      </c>
      <c r="D40" s="14">
        <f>SUMIFS(tbl_RawData[Rental_Days],tbl_RawData[Vehicle_Class],$A40,tbl_RawData[Month],D$37)</f>
        <v>116</v>
      </c>
      <c r="E40" s="14">
        <f t="shared" si="11"/>
        <v>345</v>
      </c>
    </row>
    <row r="41" spans="1:7" x14ac:dyDescent="0.3">
      <c r="A41" t="s">
        <v>14</v>
      </c>
      <c r="B41" s="14">
        <f>SUMIFS(tbl_RawData[Rental_Days],tbl_RawData[Vehicle_Class],$A41,tbl_RawData[Month],B$37)</f>
        <v>118</v>
      </c>
      <c r="C41" s="14">
        <f>SUMIFS(tbl_RawData[Rental_Days],tbl_RawData[Vehicle_Class],$A41,tbl_RawData[Month],C$37)</f>
        <v>152</v>
      </c>
      <c r="D41" s="14">
        <f>SUMIFS(tbl_RawData[Rental_Days],tbl_RawData[Vehicle_Class],$A41,tbl_RawData[Month],D$37)</f>
        <v>141</v>
      </c>
      <c r="E41" s="14">
        <f>SUM(B41:D41)</f>
        <v>411</v>
      </c>
    </row>
    <row r="42" spans="1:7" x14ac:dyDescent="0.3">
      <c r="A42" t="s">
        <v>28</v>
      </c>
      <c r="B42" s="14">
        <f>SUMIFS(tbl_RawData[Rental_Days],tbl_RawData[Vehicle_Class],$A42,tbl_RawData[Month],B$37)</f>
        <v>109</v>
      </c>
      <c r="C42" s="14">
        <f>SUMIFS(tbl_RawData[Rental_Days],tbl_RawData[Vehicle_Class],$A42,tbl_RawData[Month],C$37)</f>
        <v>91</v>
      </c>
      <c r="D42" s="14">
        <f>SUMIFS(tbl_RawData[Rental_Days],tbl_RawData[Vehicle_Class],$A42,tbl_RawData[Month],D$37)</f>
        <v>133</v>
      </c>
      <c r="E42" s="14">
        <f t="shared" si="11"/>
        <v>333</v>
      </c>
    </row>
    <row r="43" spans="1:7" x14ac:dyDescent="0.3">
      <c r="A43" t="s">
        <v>18</v>
      </c>
      <c r="B43" s="14">
        <f>SUMIFS(tbl_RawData[Rental_Days],tbl_RawData[Vehicle_Class],$A43,tbl_RawData[Month],B$37)</f>
        <v>131</v>
      </c>
      <c r="C43" s="14">
        <f>SUMIFS(tbl_RawData[Rental_Days],tbl_RawData[Vehicle_Class],$A43,tbl_RawData[Month],C$37)</f>
        <v>153</v>
      </c>
      <c r="D43" s="14">
        <f>SUMIFS(tbl_RawData[Rental_Days],tbl_RawData[Vehicle_Class],$A43,tbl_RawData[Month],D$37)</f>
        <v>119</v>
      </c>
      <c r="E43" s="14">
        <f t="shared" si="11"/>
        <v>403</v>
      </c>
    </row>
    <row r="44" spans="1:7" s="15" customFormat="1" x14ac:dyDescent="0.3">
      <c r="A44" s="15" t="s">
        <v>332</v>
      </c>
      <c r="B44" s="17">
        <f>SUM(B38:B43)</f>
        <v>749</v>
      </c>
      <c r="C44" s="17">
        <f t="shared" ref="C44:D44" si="12">SUM(C38:C43)</f>
        <v>806</v>
      </c>
      <c r="D44" s="17">
        <f t="shared" si="12"/>
        <v>762</v>
      </c>
      <c r="E44" s="17">
        <f t="shared" si="11"/>
        <v>2317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7BF8-9F8B-49CE-AE99-C56B85FDA41D}">
  <sheetPr codeName="Sheet4"/>
  <dimension ref="A1:O19"/>
  <sheetViews>
    <sheetView workbookViewId="0"/>
  </sheetViews>
  <sheetFormatPr defaultRowHeight="14.4" x14ac:dyDescent="0.3"/>
  <cols>
    <col min="1" max="2" width="14.77734375" style="2" customWidth="1"/>
    <col min="3" max="5" width="18.77734375" customWidth="1"/>
    <col min="6" max="6" width="18.77734375" style="6" customWidth="1"/>
    <col min="7" max="9" width="18.77734375" customWidth="1"/>
    <col min="10" max="10" width="18.77734375" style="6" customWidth="1"/>
    <col min="11" max="13" width="18.77734375" customWidth="1"/>
    <col min="14" max="14" width="10.77734375" customWidth="1"/>
    <col min="15" max="15" width="30.77734375" customWidth="1"/>
  </cols>
  <sheetData>
    <row r="1" spans="1:15" x14ac:dyDescent="0.3">
      <c r="A1" s="30" t="s">
        <v>3</v>
      </c>
      <c r="B1" s="30" t="s">
        <v>2</v>
      </c>
      <c r="C1" s="21" t="s">
        <v>338</v>
      </c>
      <c r="D1" s="21" t="s">
        <v>328</v>
      </c>
      <c r="E1" s="21" t="s">
        <v>339</v>
      </c>
      <c r="F1" s="31" t="s">
        <v>340</v>
      </c>
      <c r="G1" s="21" t="s">
        <v>341</v>
      </c>
      <c r="H1" s="21" t="s">
        <v>342</v>
      </c>
      <c r="I1" s="21" t="s">
        <v>343</v>
      </c>
      <c r="J1" s="31" t="s">
        <v>344</v>
      </c>
      <c r="K1" s="21" t="s">
        <v>345</v>
      </c>
      <c r="L1" s="21" t="s">
        <v>331</v>
      </c>
      <c r="M1" s="21" t="s">
        <v>346</v>
      </c>
      <c r="N1" s="21" t="s">
        <v>347</v>
      </c>
      <c r="O1" s="21" t="s">
        <v>348</v>
      </c>
    </row>
    <row r="2" spans="1:15" x14ac:dyDescent="0.3">
      <c r="A2" t="s">
        <v>30</v>
      </c>
      <c r="B2" t="s">
        <v>13</v>
      </c>
      <c r="C2" s="13">
        <f>SUMIFS(tbl_RawData[Revenue_EUR],tbl_RawData[Vehicle_Class],$A2,tbl_RawData[Month],$B2)</f>
        <v>6963.2199999999993</v>
      </c>
      <c r="D2" s="13">
        <f>SUMIFS(tbl_Budget[Budgeted_Revenue_EUR],tbl_Budget[Vehicle_Class],$A2,tbl_Budget[Month],$B2)</f>
        <v>8500</v>
      </c>
      <c r="E2" s="13">
        <f>C2-D2</f>
        <v>-1536.7800000000007</v>
      </c>
      <c r="F2" s="6">
        <f>IFERROR(E2/D2,0)</f>
        <v>-0.18079764705882362</v>
      </c>
      <c r="G2" s="13">
        <f>SUMIFS(tbl_RawData[Revenue_EUR],tbl_RawData[Vehicle_Class],$A2,tbl_RawData[Month],$B2)-SUMIFS(tbl_RawData[Variable_Cost_EUR],tbl_RawData[Vehicle_Class],$A2,tbl_RawData[Month],$B2)-SUMIFS(tbl_RawData[Fixed_Cost_Allocation_EUR],tbl_RawData[Vehicle_Class],$A2,tbl_RawData[Month],$B2)-SUMIFS(tbl_RawData[Depreciation_EUR],tbl_RawData[Vehicle_Class],$A2,tbl_RawData[Month],$B2)</f>
        <v>3685.8499999999995</v>
      </c>
      <c r="H2" s="13">
        <f>SUMIFS(tbl_Budget[Budgeted_Revenue_EUR],tbl_Budget[Vehicle_Class],$A2,tbl_Budget[Month],$B2)-SUMIFS(tbl_Budget[Budgeted_Variable_Cost_EUR],tbl_Budget[Vehicle_Class],$A2,tbl_Budget[Month],$B2)-SUMIFS(tbl_Budget[Budgeted_Fixed_Cost_EUR],tbl_Budget[Vehicle_Class],$A2,tbl_Budget[Month],$B2)</f>
        <v>4900</v>
      </c>
      <c r="I2" s="13">
        <f t="shared" ref="I2:I19" si="0">G2-H2</f>
        <v>-1214.1500000000005</v>
      </c>
      <c r="J2" s="6">
        <f t="shared" ref="J2:J19" si="1">IFERROR(I2/H2,0)</f>
        <v>-0.24778571428571439</v>
      </c>
      <c r="K2" s="14">
        <f>SUMIFS(tbl_RawData[Rental_Days],tbl_RawData[Vehicle_Class],$A2,tbl_RawData[Month],$B2)</f>
        <v>105</v>
      </c>
      <c r="L2" s="14">
        <f>SUMIFS(tbl_Budget[Budgeted_Rental_Days],tbl_Budget[Vehicle_Class],$A2,tbl_Budget[Month],$B2)</f>
        <v>145</v>
      </c>
      <c r="M2" s="14">
        <f t="shared" ref="M2:M19" si="2">K2-L2</f>
        <v>-40</v>
      </c>
      <c r="N2" t="str">
        <f t="shared" ref="N2:N19" si="3">IF(F2&lt;-0.05,"REVIEW",IF(F2&lt;0,"WATCH","OK"))</f>
        <v>REVIEW</v>
      </c>
    </row>
    <row r="3" spans="1:15" x14ac:dyDescent="0.3">
      <c r="A3" t="s">
        <v>30</v>
      </c>
      <c r="B3" t="s">
        <v>34</v>
      </c>
      <c r="C3" s="13">
        <f>SUMIFS(tbl_RawData[Revenue_EUR],tbl_RawData[Vehicle_Class],$A3,tbl_RawData[Month],$B3)</f>
        <v>8908.7400000000016</v>
      </c>
      <c r="D3" s="13">
        <f>SUMIFS(tbl_Budget[Budgeted_Revenue_EUR],tbl_Budget[Vehicle_Class],$A3,tbl_Budget[Month],$B3)</f>
        <v>8200</v>
      </c>
      <c r="E3" s="13">
        <f t="shared" ref="E3:E19" si="4">C3-D3</f>
        <v>708.7400000000016</v>
      </c>
      <c r="F3" s="6">
        <f t="shared" ref="F3:F19" si="5">IFERROR(E3/D3,0)</f>
        <v>8.6431707317073364E-2</v>
      </c>
      <c r="G3" s="13">
        <f>SUMIFS(tbl_RawData[Revenue_EUR],tbl_RawData[Vehicle_Class],$A3,tbl_RawData[Month],$B3)-SUMIFS(tbl_RawData[Variable_Cost_EUR],tbl_RawData[Vehicle_Class],$A3,tbl_RawData[Month],$B3)-SUMIFS(tbl_RawData[Fixed_Cost_Allocation_EUR],tbl_RawData[Vehicle_Class],$A3,tbl_RawData[Month],$B3)-SUMIFS(tbl_RawData[Depreciation_EUR],tbl_RawData[Vehicle_Class],$A3,tbl_RawData[Month],$B3)</f>
        <v>4456.5800000000017</v>
      </c>
      <c r="H3" s="13">
        <f>SUMIFS(tbl_Budget[Budgeted_Revenue_EUR],tbl_Budget[Vehicle_Class],$A3,tbl_Budget[Month],$B3)-SUMIFS(tbl_Budget[Budgeted_Variable_Cost_EUR],tbl_Budget[Vehicle_Class],$A3,tbl_Budget[Month],$B3)-SUMIFS(tbl_Budget[Budgeted_Fixed_Cost_EUR],tbl_Budget[Vehicle_Class],$A3,tbl_Budget[Month],$B3)</f>
        <v>4750</v>
      </c>
      <c r="I3" s="13">
        <f t="shared" si="0"/>
        <v>-293.41999999999825</v>
      </c>
      <c r="J3" s="6">
        <f>IFERROR(I3/H3,0)</f>
        <v>-6.1772631578947003E-2</v>
      </c>
      <c r="K3" s="14">
        <f>SUMIFS(tbl_RawData[Rental_Days],tbl_RawData[Vehicle_Class],$A3,tbl_RawData[Month],$B3)</f>
        <v>135</v>
      </c>
      <c r="L3" s="14">
        <f>SUMIFS(tbl_Budget[Budgeted_Rental_Days],tbl_Budget[Vehicle_Class],$A3,tbl_Budget[Month],$B3)</f>
        <v>140</v>
      </c>
      <c r="M3" s="14">
        <f t="shared" si="2"/>
        <v>-5</v>
      </c>
      <c r="N3" t="str">
        <f t="shared" si="3"/>
        <v>OK</v>
      </c>
    </row>
    <row r="4" spans="1:15" x14ac:dyDescent="0.3">
      <c r="A4" t="s">
        <v>30</v>
      </c>
      <c r="B4" t="s">
        <v>26</v>
      </c>
      <c r="C4" s="13">
        <f>SUMIFS(tbl_RawData[Revenue_EUR],tbl_RawData[Vehicle_Class],$A4,tbl_RawData[Month],$B4)</f>
        <v>11766.010000000002</v>
      </c>
      <c r="D4" s="13">
        <f>SUMIFS(tbl_Budget[Budgeted_Revenue_EUR],tbl_Budget[Vehicle_Class],$A4,tbl_Budget[Month],$B4)</f>
        <v>9000</v>
      </c>
      <c r="E4" s="13">
        <f t="shared" si="4"/>
        <v>2766.010000000002</v>
      </c>
      <c r="F4" s="6">
        <f t="shared" si="5"/>
        <v>0.30733444444444469</v>
      </c>
      <c r="G4" s="13">
        <f>SUMIFS(tbl_RawData[Revenue_EUR],tbl_RawData[Vehicle_Class],$A4,tbl_RawData[Month],$B4)-SUMIFS(tbl_RawData[Variable_Cost_EUR],tbl_RawData[Vehicle_Class],$A4,tbl_RawData[Month],$B4)-SUMIFS(tbl_RawData[Fixed_Cost_Allocation_EUR],tbl_RawData[Vehicle_Class],$A4,tbl_RawData[Month],$B4)-SUMIFS(tbl_RawData[Depreciation_EUR],tbl_RawData[Vehicle_Class],$A4,tbl_RawData[Month],$B4)</f>
        <v>6257.7800000000025</v>
      </c>
      <c r="H4" s="13">
        <f>SUMIFS(tbl_Budget[Budgeted_Revenue_EUR],tbl_Budget[Vehicle_Class],$A4,tbl_Budget[Month],$B4)-SUMIFS(tbl_Budget[Budgeted_Variable_Cost_EUR],tbl_Budget[Vehicle_Class],$A4,tbl_Budget[Month],$B4)-SUMIFS(tbl_Budget[Budgeted_Fixed_Cost_EUR],tbl_Budget[Vehicle_Class],$A4,tbl_Budget[Month],$B4)</f>
        <v>5200</v>
      </c>
      <c r="I4" s="13">
        <f t="shared" si="0"/>
        <v>1057.7800000000025</v>
      </c>
      <c r="J4" s="6">
        <f t="shared" si="1"/>
        <v>0.20341923076923124</v>
      </c>
      <c r="K4" s="14">
        <f>SUMIFS(tbl_RawData[Rental_Days],tbl_RawData[Vehicle_Class],$A4,tbl_RawData[Month],$B4)</f>
        <v>174</v>
      </c>
      <c r="L4" s="14">
        <f>SUMIFS(tbl_Budget[Budgeted_Rental_Days],tbl_Budget[Vehicle_Class],$A4,tbl_Budget[Month],$B4)</f>
        <v>155</v>
      </c>
      <c r="M4" s="14">
        <f t="shared" si="2"/>
        <v>19</v>
      </c>
      <c r="N4" t="str">
        <f t="shared" si="3"/>
        <v>OK</v>
      </c>
    </row>
    <row r="5" spans="1:15" x14ac:dyDescent="0.3">
      <c r="A5" t="s">
        <v>35</v>
      </c>
      <c r="B5" t="s">
        <v>13</v>
      </c>
      <c r="C5" s="13">
        <f>SUMIFS(tbl_RawData[Revenue_EUR],tbl_RawData[Vehicle_Class],$A5,tbl_RawData[Month],$B5)</f>
        <v>14481.97</v>
      </c>
      <c r="D5" s="13">
        <f>SUMIFS(tbl_Budget[Budgeted_Revenue_EUR],tbl_Budget[Vehicle_Class],$A5,tbl_Budget[Month],$B5)</f>
        <v>11500</v>
      </c>
      <c r="E5" s="13">
        <f t="shared" si="4"/>
        <v>2981.9699999999993</v>
      </c>
      <c r="F5" s="6">
        <f t="shared" si="5"/>
        <v>0.25930173913043475</v>
      </c>
      <c r="G5" s="13">
        <f>SUMIFS(tbl_RawData[Revenue_EUR],tbl_RawData[Vehicle_Class],$A5,tbl_RawData[Month],$B5)-SUMIFS(tbl_RawData[Variable_Cost_EUR],tbl_RawData[Vehicle_Class],$A5,tbl_RawData[Month],$B5)-SUMIFS(tbl_RawData[Fixed_Cost_Allocation_EUR],tbl_RawData[Vehicle_Class],$A5,tbl_RawData[Month],$B5)-SUMIFS(tbl_RawData[Depreciation_EUR],tbl_RawData[Vehicle_Class],$A5,tbl_RawData[Month],$B5)</f>
        <v>7773.8899999999994</v>
      </c>
      <c r="H5" s="13">
        <f>SUMIFS(tbl_Budget[Budgeted_Revenue_EUR],tbl_Budget[Vehicle_Class],$A5,tbl_Budget[Month],$B5)-SUMIFS(tbl_Budget[Budgeted_Variable_Cost_EUR],tbl_Budget[Vehicle_Class],$A5,tbl_Budget[Month],$B5)-SUMIFS(tbl_Budget[Budgeted_Fixed_Cost_EUR],tbl_Budget[Vehicle_Class],$A5,tbl_Budget[Month],$B5)</f>
        <v>6800</v>
      </c>
      <c r="I5" s="13">
        <f t="shared" si="0"/>
        <v>973.88999999999942</v>
      </c>
      <c r="J5" s="6">
        <f t="shared" si="1"/>
        <v>0.14321911764705875</v>
      </c>
      <c r="K5" s="14">
        <f>SUMIFS(tbl_RawData[Rental_Days],tbl_RawData[Vehicle_Class],$A5,tbl_RawData[Month],$B5)</f>
        <v>169</v>
      </c>
      <c r="L5" s="14">
        <f>SUMIFS(tbl_Budget[Budgeted_Rental_Days],tbl_Budget[Vehicle_Class],$A5,tbl_Budget[Month],$B5)</f>
        <v>140</v>
      </c>
      <c r="M5" s="14">
        <f t="shared" si="2"/>
        <v>29</v>
      </c>
      <c r="N5" t="str">
        <f t="shared" si="3"/>
        <v>OK</v>
      </c>
    </row>
    <row r="6" spans="1:15" x14ac:dyDescent="0.3">
      <c r="A6" t="s">
        <v>35</v>
      </c>
      <c r="B6" t="s">
        <v>34</v>
      </c>
      <c r="C6" s="13">
        <f>SUMIFS(tbl_RawData[Revenue_EUR],tbl_RawData[Vehicle_Class],$A6,tbl_RawData[Month],$B6)</f>
        <v>13815.100000000002</v>
      </c>
      <c r="D6" s="13">
        <f>SUMIFS(tbl_Budget[Budgeted_Revenue_EUR],tbl_Budget[Vehicle_Class],$A6,tbl_Budget[Month],$B6)</f>
        <v>11000</v>
      </c>
      <c r="E6" s="13">
        <f t="shared" si="4"/>
        <v>2815.1000000000022</v>
      </c>
      <c r="F6" s="6">
        <f t="shared" si="5"/>
        <v>0.25591818181818199</v>
      </c>
      <c r="G6" s="13">
        <f>SUMIFS(tbl_RawData[Revenue_EUR],tbl_RawData[Vehicle_Class],$A6,tbl_RawData[Month],$B6)-SUMIFS(tbl_RawData[Variable_Cost_EUR],tbl_RawData[Vehicle_Class],$A6,tbl_RawData[Month],$B6)-SUMIFS(tbl_RawData[Fixed_Cost_Allocation_EUR],tbl_RawData[Vehicle_Class],$A6,tbl_RawData[Month],$B6)-SUMIFS(tbl_RawData[Depreciation_EUR],tbl_RawData[Vehicle_Class],$A6,tbl_RawData[Month],$B6)</f>
        <v>7272.6500000000024</v>
      </c>
      <c r="H6" s="13">
        <f>SUMIFS(tbl_Budget[Budgeted_Revenue_EUR],tbl_Budget[Vehicle_Class],$A6,tbl_Budget[Month],$B6)-SUMIFS(tbl_Budget[Budgeted_Variable_Cost_EUR],tbl_Budget[Vehicle_Class],$A6,tbl_Budget[Month],$B6)-SUMIFS(tbl_Budget[Budgeted_Fixed_Cost_EUR],tbl_Budget[Vehicle_Class],$A6,tbl_Budget[Month],$B6)</f>
        <v>6450</v>
      </c>
      <c r="I6" s="13">
        <f t="shared" si="0"/>
        <v>822.65000000000236</v>
      </c>
      <c r="J6" s="6">
        <f t="shared" si="1"/>
        <v>0.1275426356589151</v>
      </c>
      <c r="K6" s="14">
        <f>SUMIFS(tbl_RawData[Rental_Days],tbl_RawData[Vehicle_Class],$A6,tbl_RawData[Month],$B6)</f>
        <v>163</v>
      </c>
      <c r="L6" s="14">
        <f>SUMIFS(tbl_Budget[Budgeted_Rental_Days],tbl_Budget[Vehicle_Class],$A6,tbl_Budget[Month],$B6)</f>
        <v>135</v>
      </c>
      <c r="M6" s="14">
        <f t="shared" si="2"/>
        <v>28</v>
      </c>
      <c r="N6" t="str">
        <f t="shared" si="3"/>
        <v>OK</v>
      </c>
    </row>
    <row r="7" spans="1:15" x14ac:dyDescent="0.3">
      <c r="A7" t="s">
        <v>35</v>
      </c>
      <c r="B7" t="s">
        <v>26</v>
      </c>
      <c r="C7" s="13">
        <f>SUMIFS(tbl_RawData[Revenue_EUR],tbl_RawData[Vehicle_Class],$A7,tbl_RawData[Month],$B7)</f>
        <v>6801.44</v>
      </c>
      <c r="D7" s="13">
        <f>SUMIFS(tbl_Budget[Budgeted_Revenue_EUR],tbl_Budget[Vehicle_Class],$A7,tbl_Budget[Month],$B7)</f>
        <v>12000</v>
      </c>
      <c r="E7" s="13">
        <f t="shared" si="4"/>
        <v>-5198.5600000000004</v>
      </c>
      <c r="F7" s="6">
        <f t="shared" si="5"/>
        <v>-0.43321333333333334</v>
      </c>
      <c r="G7" s="13">
        <f>SUMIFS(tbl_RawData[Revenue_EUR],tbl_RawData[Vehicle_Class],$A7,tbl_RawData[Month],$B7)-SUMIFS(tbl_RawData[Variable_Cost_EUR],tbl_RawData[Vehicle_Class],$A7,tbl_RawData[Month],$B7)-SUMIFS(tbl_RawData[Fixed_Cost_Allocation_EUR],tbl_RawData[Vehicle_Class],$A7,tbl_RawData[Month],$B7)-SUMIFS(tbl_RawData[Depreciation_EUR],tbl_RawData[Vehicle_Class],$A7,tbl_RawData[Month],$B7)</f>
        <v>3622.2200000000007</v>
      </c>
      <c r="H7" s="13">
        <f>SUMIFS(tbl_Budget[Budgeted_Revenue_EUR],tbl_Budget[Vehicle_Class],$A7,tbl_Budget[Month],$B7)-SUMIFS(tbl_Budget[Budgeted_Variable_Cost_EUR],tbl_Budget[Vehicle_Class],$A7,tbl_Budget[Month],$B7)-SUMIFS(tbl_Budget[Budgeted_Fixed_Cost_EUR],tbl_Budget[Vehicle_Class],$A7,tbl_Budget[Month],$B7)</f>
        <v>7100</v>
      </c>
      <c r="I7" s="13">
        <f t="shared" si="0"/>
        <v>-3477.7799999999993</v>
      </c>
      <c r="J7" s="6">
        <f t="shared" si="1"/>
        <v>-0.48982816901408438</v>
      </c>
      <c r="K7" s="14">
        <f>SUMIFS(tbl_RawData[Rental_Days],tbl_RawData[Vehicle_Class],$A7,tbl_RawData[Month],$B7)</f>
        <v>79</v>
      </c>
      <c r="L7" s="14">
        <f>SUMIFS(tbl_Budget[Budgeted_Rental_Days],tbl_Budget[Vehicle_Class],$A7,tbl_Budget[Month],$B7)</f>
        <v>148</v>
      </c>
      <c r="M7" s="14">
        <f t="shared" si="2"/>
        <v>-69</v>
      </c>
      <c r="N7" t="str">
        <f t="shared" si="3"/>
        <v>REVIEW</v>
      </c>
    </row>
    <row r="8" spans="1:15" x14ac:dyDescent="0.3">
      <c r="A8" t="s">
        <v>22</v>
      </c>
      <c r="B8" t="s">
        <v>13</v>
      </c>
      <c r="C8" s="13">
        <f>SUMIFS(tbl_RawData[Revenue_EUR],tbl_RawData[Vehicle_Class],$A8,tbl_RawData[Month],$B8)</f>
        <v>13225.720000000001</v>
      </c>
      <c r="D8" s="13">
        <f>SUMIFS(tbl_Budget[Budgeted_Revenue_EUR],tbl_Budget[Vehicle_Class],$A8,tbl_Budget[Month],$B8)</f>
        <v>16000</v>
      </c>
      <c r="E8" s="13">
        <f t="shared" si="4"/>
        <v>-2774.2799999999988</v>
      </c>
      <c r="F8" s="6">
        <f t="shared" si="5"/>
        <v>-0.17339249999999992</v>
      </c>
      <c r="G8" s="13">
        <f>SUMIFS(tbl_RawData[Revenue_EUR],tbl_RawData[Vehicle_Class],$A8,tbl_RawData[Month],$B8)-SUMIFS(tbl_RawData[Variable_Cost_EUR],tbl_RawData[Vehicle_Class],$A8,tbl_RawData[Month],$B8)-SUMIFS(tbl_RawData[Fixed_Cost_Allocation_EUR],tbl_RawData[Vehicle_Class],$A8,tbl_RawData[Month],$B8)-SUMIFS(tbl_RawData[Depreciation_EUR],tbl_RawData[Vehicle_Class],$A8,tbl_RawData[Month],$B8)</f>
        <v>7279.5999999999995</v>
      </c>
      <c r="H8" s="13">
        <f>SUMIFS(tbl_Budget[Budgeted_Revenue_EUR],tbl_Budget[Vehicle_Class],$A8,tbl_Budget[Month],$B8)-SUMIFS(tbl_Budget[Budgeted_Variable_Cost_EUR],tbl_Budget[Vehicle_Class],$A8,tbl_Budget[Month],$B8)-SUMIFS(tbl_Budget[Budgeted_Fixed_Cost_EUR],tbl_Budget[Vehicle_Class],$A8,tbl_Budget[Month],$B8)</f>
        <v>9800</v>
      </c>
      <c r="I8" s="13">
        <f t="shared" si="0"/>
        <v>-2520.4000000000005</v>
      </c>
      <c r="J8" s="6">
        <f t="shared" si="1"/>
        <v>-0.25718367346938781</v>
      </c>
      <c r="K8" s="14">
        <f>SUMIFS(tbl_RawData[Rental_Days],tbl_RawData[Vehicle_Class],$A8,tbl_RawData[Month],$B8)</f>
        <v>117</v>
      </c>
      <c r="L8" s="14">
        <f>SUMIFS(tbl_Budget[Budgeted_Rental_Days],tbl_Budget[Vehicle_Class],$A8,tbl_Budget[Month],$B8)</f>
        <v>148</v>
      </c>
      <c r="M8" s="14">
        <f t="shared" si="2"/>
        <v>-31</v>
      </c>
      <c r="N8" t="str">
        <f t="shared" si="3"/>
        <v>REVIEW</v>
      </c>
    </row>
    <row r="9" spans="1:15" x14ac:dyDescent="0.3">
      <c r="A9" t="s">
        <v>22</v>
      </c>
      <c r="B9" t="s">
        <v>34</v>
      </c>
      <c r="C9" s="13">
        <f>SUMIFS(tbl_RawData[Revenue_EUR],tbl_RawData[Vehicle_Class],$A9,tbl_RawData[Month],$B9)</f>
        <v>12580.480000000001</v>
      </c>
      <c r="D9" s="13">
        <f>SUMIFS(tbl_Budget[Budgeted_Revenue_EUR],tbl_Budget[Vehicle_Class],$A9,tbl_Budget[Month],$B9)</f>
        <v>15500</v>
      </c>
      <c r="E9" s="13">
        <f t="shared" si="4"/>
        <v>-2919.5199999999986</v>
      </c>
      <c r="F9" s="6">
        <f t="shared" si="5"/>
        <v>-0.18835612903225799</v>
      </c>
      <c r="G9" s="13">
        <f>SUMIFS(tbl_RawData[Revenue_EUR],tbl_RawData[Vehicle_Class],$A9,tbl_RawData[Month],$B9)-SUMIFS(tbl_RawData[Variable_Cost_EUR],tbl_RawData[Vehicle_Class],$A9,tbl_RawData[Month],$B9)-SUMIFS(tbl_RawData[Fixed_Cost_Allocation_EUR],tbl_RawData[Vehicle_Class],$A9,tbl_RawData[Month],$B9)-SUMIFS(tbl_RawData[Depreciation_EUR],tbl_RawData[Vehicle_Class],$A9,tbl_RawData[Month],$B9)</f>
        <v>6889.99</v>
      </c>
      <c r="H9" s="13">
        <f>SUMIFS(tbl_Budget[Budgeted_Revenue_EUR],tbl_Budget[Vehicle_Class],$A9,tbl_Budget[Month],$B9)-SUMIFS(tbl_Budget[Budgeted_Variable_Cost_EUR],tbl_Budget[Vehicle_Class],$A9,tbl_Budget[Month],$B9)-SUMIFS(tbl_Budget[Budgeted_Fixed_Cost_EUR],tbl_Budget[Vehicle_Class],$A9,tbl_Budget[Month],$B9)</f>
        <v>9500</v>
      </c>
      <c r="I9" s="13">
        <f t="shared" si="0"/>
        <v>-2610.0100000000002</v>
      </c>
      <c r="J9" s="6">
        <f t="shared" si="1"/>
        <v>-0.27473789473684213</v>
      </c>
      <c r="K9" s="14">
        <f>SUMIFS(tbl_RawData[Rental_Days],tbl_RawData[Vehicle_Class],$A9,tbl_RawData[Month],$B9)</f>
        <v>112</v>
      </c>
      <c r="L9" s="14">
        <f>SUMIFS(tbl_Budget[Budgeted_Rental_Days],tbl_Budget[Vehicle_Class],$A9,tbl_Budget[Month],$B9)</f>
        <v>143</v>
      </c>
      <c r="M9" s="14">
        <f t="shared" si="2"/>
        <v>-31</v>
      </c>
      <c r="N9" t="str">
        <f t="shared" si="3"/>
        <v>REVIEW</v>
      </c>
    </row>
    <row r="10" spans="1:15" x14ac:dyDescent="0.3">
      <c r="A10" t="s">
        <v>22</v>
      </c>
      <c r="B10" t="s">
        <v>26</v>
      </c>
      <c r="C10" s="13">
        <f>SUMIFS(tbl_RawData[Revenue_EUR],tbl_RawData[Vehicle_Class],$A10,tbl_RawData[Month],$B10)</f>
        <v>13256.89</v>
      </c>
      <c r="D10" s="13">
        <f>SUMIFS(tbl_Budget[Budgeted_Revenue_EUR],tbl_Budget[Vehicle_Class],$A10,tbl_Budget[Month],$B10)</f>
        <v>17000</v>
      </c>
      <c r="E10" s="13">
        <f t="shared" si="4"/>
        <v>-3743.1100000000006</v>
      </c>
      <c r="F10" s="6">
        <f t="shared" si="5"/>
        <v>-0.22018294117647061</v>
      </c>
      <c r="G10" s="13">
        <f>SUMIFS(tbl_RawData[Revenue_EUR],tbl_RawData[Vehicle_Class],$A10,tbl_RawData[Month],$B10)-SUMIFS(tbl_RawData[Variable_Cost_EUR],tbl_RawData[Vehicle_Class],$A10,tbl_RawData[Month],$B10)-SUMIFS(tbl_RawData[Fixed_Cost_Allocation_EUR],tbl_RawData[Vehicle_Class],$A10,tbl_RawData[Month],$B10)-SUMIFS(tbl_RawData[Depreciation_EUR],tbl_RawData[Vehicle_Class],$A10,tbl_RawData[Month],$B10)</f>
        <v>7359.0599999999986</v>
      </c>
      <c r="H10" s="13">
        <f>SUMIFS(tbl_Budget[Budgeted_Revenue_EUR],tbl_Budget[Vehicle_Class],$A10,tbl_Budget[Month],$B10)-SUMIFS(tbl_Budget[Budgeted_Variable_Cost_EUR],tbl_Budget[Vehicle_Class],$A10,tbl_Budget[Month],$B10)-SUMIFS(tbl_Budget[Budgeted_Fixed_Cost_EUR],tbl_Budget[Vehicle_Class],$A10,tbl_Budget[Month],$B10)</f>
        <v>10500</v>
      </c>
      <c r="I10" s="13">
        <f t="shared" si="0"/>
        <v>-3140.9400000000014</v>
      </c>
      <c r="J10" s="6">
        <f t="shared" si="1"/>
        <v>-0.29913714285714299</v>
      </c>
      <c r="K10" s="14">
        <f>SUMIFS(tbl_RawData[Rental_Days],tbl_RawData[Vehicle_Class],$A10,tbl_RawData[Month],$B10)</f>
        <v>116</v>
      </c>
      <c r="L10" s="14">
        <f>SUMIFS(tbl_Budget[Budgeted_Rental_Days],tbl_Budget[Vehicle_Class],$A10,tbl_Budget[Month],$B10)</f>
        <v>155</v>
      </c>
      <c r="M10" s="14">
        <f t="shared" si="2"/>
        <v>-39</v>
      </c>
      <c r="N10" t="str">
        <f t="shared" si="3"/>
        <v>REVIEW</v>
      </c>
    </row>
    <row r="11" spans="1:15" x14ac:dyDescent="0.3">
      <c r="A11" t="s">
        <v>14</v>
      </c>
      <c r="B11" t="s">
        <v>13</v>
      </c>
      <c r="C11" s="13">
        <f>SUMIFS(tbl_RawData[Revenue_EUR],tbl_RawData[Vehicle_Class],$A11,tbl_RawData[Month],$B11)</f>
        <v>18195.18</v>
      </c>
      <c r="D11" s="13">
        <f>SUMIFS(tbl_Budget[Budgeted_Revenue_EUR],tbl_Budget[Vehicle_Class],$A11,tbl_Budget[Month],$B11)</f>
        <v>22000</v>
      </c>
      <c r="E11" s="13">
        <f t="shared" si="4"/>
        <v>-3804.8199999999997</v>
      </c>
      <c r="F11" s="6">
        <f t="shared" si="5"/>
        <v>-0.17294636363636362</v>
      </c>
      <c r="G11" s="13">
        <f>SUMIFS(tbl_RawData[Revenue_EUR],tbl_RawData[Vehicle_Class],$A11,tbl_RawData[Month],$B11)-SUMIFS(tbl_RawData[Variable_Cost_EUR],tbl_RawData[Vehicle_Class],$A11,tbl_RawData[Month],$B11)-SUMIFS(tbl_RawData[Fixed_Cost_Allocation_EUR],tbl_RawData[Vehicle_Class],$A11,tbl_RawData[Month],$B11)-SUMIFS(tbl_RawData[Depreciation_EUR],tbl_RawData[Vehicle_Class],$A11,tbl_RawData[Month],$B11)</f>
        <v>9506.2300000000014</v>
      </c>
      <c r="H11" s="13">
        <f>SUMIFS(tbl_Budget[Budgeted_Revenue_EUR],tbl_Budget[Vehicle_Class],$A11,tbl_Budget[Month],$B11)-SUMIFS(tbl_Budget[Budgeted_Variable_Cost_EUR],tbl_Budget[Vehicle_Class],$A11,tbl_Budget[Month],$B11)-SUMIFS(tbl_Budget[Budgeted_Fixed_Cost_EUR],tbl_Budget[Vehicle_Class],$A11,tbl_Budget[Month],$B11)</f>
        <v>14300</v>
      </c>
      <c r="I11" s="13">
        <f t="shared" si="0"/>
        <v>-4793.7699999999986</v>
      </c>
      <c r="J11" s="6">
        <f t="shared" si="1"/>
        <v>-0.33522867132867123</v>
      </c>
      <c r="K11" s="14">
        <f>SUMIFS(tbl_RawData[Rental_Days],tbl_RawData[Vehicle_Class],$A11,tbl_RawData[Month],$B11)</f>
        <v>118</v>
      </c>
      <c r="L11" s="14">
        <f>SUMIFS(tbl_Budget[Budgeted_Rental_Days],tbl_Budget[Vehicle_Class],$A11,tbl_Budget[Month],$B11)</f>
        <v>140</v>
      </c>
      <c r="M11" s="14">
        <f t="shared" si="2"/>
        <v>-22</v>
      </c>
      <c r="N11" t="str">
        <f t="shared" si="3"/>
        <v>REVIEW</v>
      </c>
    </row>
    <row r="12" spans="1:15" x14ac:dyDescent="0.3">
      <c r="A12" t="s">
        <v>14</v>
      </c>
      <c r="B12" t="s">
        <v>34</v>
      </c>
      <c r="C12" s="13">
        <f>SUMIFS(tbl_RawData[Revenue_EUR],tbl_RawData[Vehicle_Class],$A12,tbl_RawData[Month],$B12)</f>
        <v>24653.480000000003</v>
      </c>
      <c r="D12" s="13">
        <f>SUMIFS(tbl_Budget[Budgeted_Revenue_EUR],tbl_Budget[Vehicle_Class],$A12,tbl_Budget[Month],$B12)</f>
        <v>21000</v>
      </c>
      <c r="E12" s="13">
        <f t="shared" si="4"/>
        <v>3653.4800000000032</v>
      </c>
      <c r="F12" s="6">
        <f t="shared" si="5"/>
        <v>0.17397523809523824</v>
      </c>
      <c r="G12" s="13">
        <f>SUMIFS(tbl_RawData[Revenue_EUR],tbl_RawData[Vehicle_Class],$A12,tbl_RawData[Month],$B12)-SUMIFS(tbl_RawData[Variable_Cost_EUR],tbl_RawData[Vehicle_Class],$A12,tbl_RawData[Month],$B12)-SUMIFS(tbl_RawData[Fixed_Cost_Allocation_EUR],tbl_RawData[Vehicle_Class],$A12,tbl_RawData[Month],$B12)-SUMIFS(tbl_RawData[Depreciation_EUR],tbl_RawData[Vehicle_Class],$A12,tbl_RawData[Month],$B12)</f>
        <v>13563.180000000004</v>
      </c>
      <c r="H12" s="13">
        <f>SUMIFS(tbl_Budget[Budgeted_Revenue_EUR],tbl_Budget[Vehicle_Class],$A12,tbl_Budget[Month],$B12)-SUMIFS(tbl_Budget[Budgeted_Variable_Cost_EUR],tbl_Budget[Vehicle_Class],$A12,tbl_Budget[Month],$B12)-SUMIFS(tbl_Budget[Budgeted_Fixed_Cost_EUR],tbl_Budget[Vehicle_Class],$A12,tbl_Budget[Month],$B12)</f>
        <v>13600</v>
      </c>
      <c r="I12" s="13">
        <f t="shared" si="0"/>
        <v>-36.819999999996071</v>
      </c>
      <c r="J12" s="6">
        <f t="shared" si="1"/>
        <v>-2.7073529411761818E-3</v>
      </c>
      <c r="K12" s="14">
        <f>SUMIFS(tbl_RawData[Rental_Days],tbl_RawData[Vehicle_Class],$A12,tbl_RawData[Month],$B12)</f>
        <v>152</v>
      </c>
      <c r="L12" s="14">
        <f>SUMIFS(tbl_Budget[Budgeted_Rental_Days],tbl_Budget[Vehicle_Class],$A12,tbl_Budget[Month],$B12)</f>
        <v>135</v>
      </c>
      <c r="M12" s="14">
        <f t="shared" si="2"/>
        <v>17</v>
      </c>
      <c r="N12" t="str">
        <f t="shared" si="3"/>
        <v>OK</v>
      </c>
    </row>
    <row r="13" spans="1:15" x14ac:dyDescent="0.3">
      <c r="A13" t="s">
        <v>14</v>
      </c>
      <c r="B13" t="s">
        <v>26</v>
      </c>
      <c r="C13" s="13">
        <f>SUMIFS(tbl_RawData[Revenue_EUR],tbl_RawData[Vehicle_Class],$A13,tbl_RawData[Month],$B13)</f>
        <v>22296.55</v>
      </c>
      <c r="D13" s="13">
        <f>SUMIFS(tbl_Budget[Budgeted_Revenue_EUR],tbl_Budget[Vehicle_Class],$A13,tbl_Budget[Month],$B13)</f>
        <v>23500</v>
      </c>
      <c r="E13" s="13">
        <f t="shared" si="4"/>
        <v>-1203.4500000000007</v>
      </c>
      <c r="F13" s="6">
        <f t="shared" si="5"/>
        <v>-5.1210638297872368E-2</v>
      </c>
      <c r="G13" s="13">
        <f>SUMIFS(tbl_RawData[Revenue_EUR],tbl_RawData[Vehicle_Class],$A13,tbl_RawData[Month],$B13)-SUMIFS(tbl_RawData[Variable_Cost_EUR],tbl_RawData[Vehicle_Class],$A13,tbl_RawData[Month],$B13)-SUMIFS(tbl_RawData[Fixed_Cost_Allocation_EUR],tbl_RawData[Vehicle_Class],$A13,tbl_RawData[Month],$B13)-SUMIFS(tbl_RawData[Depreciation_EUR],tbl_RawData[Vehicle_Class],$A13,tbl_RawData[Month],$B13)</f>
        <v>12230.79</v>
      </c>
      <c r="H13" s="13">
        <f>SUMIFS(tbl_Budget[Budgeted_Revenue_EUR],tbl_Budget[Vehicle_Class],$A13,tbl_Budget[Month],$B13)-SUMIFS(tbl_Budget[Budgeted_Variable_Cost_EUR],tbl_Budget[Vehicle_Class],$A13,tbl_Budget[Month],$B13)-SUMIFS(tbl_Budget[Budgeted_Fixed_Cost_EUR],tbl_Budget[Vehicle_Class],$A13,tbl_Budget[Month],$B13)</f>
        <v>15400</v>
      </c>
      <c r="I13" s="13">
        <f t="shared" si="0"/>
        <v>-3169.2099999999991</v>
      </c>
      <c r="J13" s="6">
        <f t="shared" si="1"/>
        <v>-0.20579285714285708</v>
      </c>
      <c r="K13" s="14">
        <f>SUMIFS(tbl_RawData[Rental_Days],tbl_RawData[Vehicle_Class],$A13,tbl_RawData[Month],$B13)</f>
        <v>141</v>
      </c>
      <c r="L13" s="14">
        <f>SUMIFS(tbl_Budget[Budgeted_Rental_Days],tbl_Budget[Vehicle_Class],$A13,tbl_Budget[Month],$B13)</f>
        <v>148</v>
      </c>
      <c r="M13" s="14">
        <f t="shared" si="2"/>
        <v>-7</v>
      </c>
      <c r="N13" t="str">
        <f t="shared" si="3"/>
        <v>REVIEW</v>
      </c>
    </row>
    <row r="14" spans="1:15" x14ac:dyDescent="0.3">
      <c r="A14" t="s">
        <v>28</v>
      </c>
      <c r="B14" t="s">
        <v>13</v>
      </c>
      <c r="C14" s="13">
        <f>SUMIFS(tbl_RawData[Revenue_EUR],tbl_RawData[Vehicle_Class],$A14,tbl_RawData[Month],$B14)</f>
        <v>14797.470000000001</v>
      </c>
      <c r="D14" s="13">
        <f>SUMIFS(tbl_Budget[Budgeted_Revenue_EUR],tbl_Budget[Vehicle_Class],$A14,tbl_Budget[Month],$B14)</f>
        <v>19000</v>
      </c>
      <c r="E14" s="13">
        <f t="shared" si="4"/>
        <v>-4202.5299999999988</v>
      </c>
      <c r="F14" s="6">
        <f t="shared" si="5"/>
        <v>-0.22118578947368414</v>
      </c>
      <c r="G14" s="13">
        <f>SUMIFS(tbl_RawData[Revenue_EUR],tbl_RawData[Vehicle_Class],$A14,tbl_RawData[Month],$B14)-SUMIFS(tbl_RawData[Variable_Cost_EUR],tbl_RawData[Vehicle_Class],$A14,tbl_RawData[Month],$B14)-SUMIFS(tbl_RawData[Fixed_Cost_Allocation_EUR],tbl_RawData[Vehicle_Class],$A14,tbl_RawData[Month],$B14)-SUMIFS(tbl_RawData[Depreciation_EUR],tbl_RawData[Vehicle_Class],$A14,tbl_RawData[Month],$B14)</f>
        <v>8514.6700000000019</v>
      </c>
      <c r="H14" s="13">
        <f>SUMIFS(tbl_Budget[Budgeted_Revenue_EUR],tbl_Budget[Vehicle_Class],$A14,tbl_Budget[Month],$B14)-SUMIFS(tbl_Budget[Budgeted_Variable_Cost_EUR],tbl_Budget[Vehicle_Class],$A14,tbl_Budget[Month],$B14)-SUMIFS(tbl_Budget[Budgeted_Fixed_Cost_EUR],tbl_Budget[Vehicle_Class],$A14,tbl_Budget[Month],$B14)</f>
        <v>12200</v>
      </c>
      <c r="I14" s="13">
        <f t="shared" si="0"/>
        <v>-3685.3299999999981</v>
      </c>
      <c r="J14" s="6">
        <f t="shared" si="1"/>
        <v>-0.30207622950819657</v>
      </c>
      <c r="K14" s="14">
        <f>SUMIFS(tbl_RawData[Rental_Days],tbl_RawData[Vehicle_Class],$A14,tbl_RawData[Month],$B14)</f>
        <v>109</v>
      </c>
      <c r="L14" s="14">
        <f>SUMIFS(tbl_Budget[Budgeted_Rental_Days],tbl_Budget[Vehicle_Class],$A14,tbl_Budget[Month],$B14)</f>
        <v>145</v>
      </c>
      <c r="M14" s="14">
        <f t="shared" si="2"/>
        <v>-36</v>
      </c>
      <c r="N14" t="str">
        <f t="shared" si="3"/>
        <v>REVIEW</v>
      </c>
    </row>
    <row r="15" spans="1:15" x14ac:dyDescent="0.3">
      <c r="A15" t="s">
        <v>28</v>
      </c>
      <c r="B15" t="s">
        <v>34</v>
      </c>
      <c r="C15" s="13">
        <f>SUMIFS(tbl_RawData[Revenue_EUR],tbl_RawData[Vehicle_Class],$A15,tbl_RawData[Month],$B15)</f>
        <v>12002.300000000003</v>
      </c>
      <c r="D15" s="13">
        <f>SUMIFS(tbl_Budget[Budgeted_Revenue_EUR],tbl_Budget[Vehicle_Class],$A15,tbl_Budget[Month],$B15)</f>
        <v>18500</v>
      </c>
      <c r="E15" s="13">
        <f t="shared" si="4"/>
        <v>-6497.6999999999971</v>
      </c>
      <c r="F15" s="6">
        <f t="shared" si="5"/>
        <v>-0.35122702702702685</v>
      </c>
      <c r="G15" s="13">
        <f>SUMIFS(tbl_RawData[Revenue_EUR],tbl_RawData[Vehicle_Class],$A15,tbl_RawData[Month],$B15)-SUMIFS(tbl_RawData[Variable_Cost_EUR],tbl_RawData[Vehicle_Class],$A15,tbl_RawData[Month],$B15)-SUMIFS(tbl_RawData[Fixed_Cost_Allocation_EUR],tbl_RawData[Vehicle_Class],$A15,tbl_RawData[Month],$B15)-SUMIFS(tbl_RawData[Depreciation_EUR],tbl_RawData[Vehicle_Class],$A15,tbl_RawData[Month],$B15)</f>
        <v>6449.6700000000019</v>
      </c>
      <c r="H15" s="13">
        <f>SUMIFS(tbl_Budget[Budgeted_Revenue_EUR],tbl_Budget[Vehicle_Class],$A15,tbl_Budget[Month],$B15)-SUMIFS(tbl_Budget[Budgeted_Variable_Cost_EUR],tbl_Budget[Vehicle_Class],$A15,tbl_Budget[Month],$B15)-SUMIFS(tbl_Budget[Budgeted_Fixed_Cost_EUR],tbl_Budget[Vehicle_Class],$A15,tbl_Budget[Month],$B15)</f>
        <v>11900</v>
      </c>
      <c r="I15" s="13">
        <f t="shared" si="0"/>
        <v>-5450.3299999999981</v>
      </c>
      <c r="J15" s="6">
        <f t="shared" si="1"/>
        <v>-0.45801092436974772</v>
      </c>
      <c r="K15" s="14">
        <f>SUMIFS(tbl_RawData[Rental_Days],tbl_RawData[Vehicle_Class],$A15,tbl_RawData[Month],$B15)</f>
        <v>91</v>
      </c>
      <c r="L15" s="14">
        <f>SUMIFS(tbl_Budget[Budgeted_Rental_Days],tbl_Budget[Vehicle_Class],$A15,tbl_Budget[Month],$B15)</f>
        <v>140</v>
      </c>
      <c r="M15" s="14">
        <f t="shared" si="2"/>
        <v>-49</v>
      </c>
      <c r="N15" t="str">
        <f t="shared" si="3"/>
        <v>REVIEW</v>
      </c>
    </row>
    <row r="16" spans="1:15" x14ac:dyDescent="0.3">
      <c r="A16" t="s">
        <v>28</v>
      </c>
      <c r="B16" t="s">
        <v>26</v>
      </c>
      <c r="C16" s="13">
        <f>SUMIFS(tbl_RawData[Revenue_EUR],tbl_RawData[Vehicle_Class],$A16,tbl_RawData[Month],$B16)</f>
        <v>18079.990000000002</v>
      </c>
      <c r="D16" s="13">
        <f>SUMIFS(tbl_Budget[Budgeted_Revenue_EUR],tbl_Budget[Vehicle_Class],$A16,tbl_Budget[Month],$B16)</f>
        <v>20000</v>
      </c>
      <c r="E16" s="13">
        <f t="shared" si="4"/>
        <v>-1920.0099999999984</v>
      </c>
      <c r="F16" s="6">
        <f t="shared" si="5"/>
        <v>-9.6000499999999919E-2</v>
      </c>
      <c r="G16" s="13">
        <f>SUMIFS(tbl_RawData[Revenue_EUR],tbl_RawData[Vehicle_Class],$A16,tbl_RawData[Month],$B16)-SUMIFS(tbl_RawData[Variable_Cost_EUR],tbl_RawData[Vehicle_Class],$A16,tbl_RawData[Month],$B16)-SUMIFS(tbl_RawData[Fixed_Cost_Allocation_EUR],tbl_RawData[Vehicle_Class],$A16,tbl_RawData[Month],$B16)-SUMIFS(tbl_RawData[Depreciation_EUR],tbl_RawData[Vehicle_Class],$A16,tbl_RawData[Month],$B16)</f>
        <v>10271.810000000001</v>
      </c>
      <c r="H16" s="13">
        <f>SUMIFS(tbl_Budget[Budgeted_Revenue_EUR],tbl_Budget[Vehicle_Class],$A16,tbl_Budget[Month],$B16)-SUMIFS(tbl_Budget[Budgeted_Variable_Cost_EUR],tbl_Budget[Vehicle_Class],$A16,tbl_Budget[Month],$B16)-SUMIFS(tbl_Budget[Budgeted_Fixed_Cost_EUR],tbl_Budget[Vehicle_Class],$A16,tbl_Budget[Month],$B16)</f>
        <v>12900</v>
      </c>
      <c r="I16" s="13">
        <f t="shared" si="0"/>
        <v>-2628.1899999999987</v>
      </c>
      <c r="J16" s="6">
        <f t="shared" si="1"/>
        <v>-0.20373565891472858</v>
      </c>
      <c r="K16" s="14">
        <f>SUMIFS(tbl_RawData[Rental_Days],tbl_RawData[Vehicle_Class],$A16,tbl_RawData[Month],$B16)</f>
        <v>133</v>
      </c>
      <c r="L16" s="14">
        <f>SUMIFS(tbl_Budget[Budgeted_Rental_Days],tbl_Budget[Vehicle_Class],$A16,tbl_Budget[Month],$B16)</f>
        <v>152</v>
      </c>
      <c r="M16" s="14">
        <f t="shared" si="2"/>
        <v>-19</v>
      </c>
      <c r="N16" t="str">
        <f t="shared" si="3"/>
        <v>REVIEW</v>
      </c>
    </row>
    <row r="17" spans="1:14" x14ac:dyDescent="0.3">
      <c r="A17" t="s">
        <v>18</v>
      </c>
      <c r="B17" t="s">
        <v>13</v>
      </c>
      <c r="C17" s="13">
        <f>SUMIFS(tbl_RawData[Revenue_EUR],tbl_RawData[Vehicle_Class],$A17,tbl_RawData[Month],$B17)</f>
        <v>19569.45</v>
      </c>
      <c r="D17" s="13">
        <f>SUMIFS(tbl_Budget[Budgeted_Revenue_EUR],tbl_Budget[Vehicle_Class],$A17,tbl_Budget[Month],$B17)</f>
        <v>20000</v>
      </c>
      <c r="E17" s="13">
        <f t="shared" si="4"/>
        <v>-430.54999999999927</v>
      </c>
      <c r="F17" s="6">
        <f t="shared" si="5"/>
        <v>-2.1527499999999963E-2</v>
      </c>
      <c r="G17" s="13">
        <f>SUMIFS(tbl_RawData[Revenue_EUR],tbl_RawData[Vehicle_Class],$A17,tbl_RawData[Month],$B17)-SUMIFS(tbl_RawData[Variable_Cost_EUR],tbl_RawData[Vehicle_Class],$A17,tbl_RawData[Month],$B17)-SUMIFS(tbl_RawData[Fixed_Cost_Allocation_EUR],tbl_RawData[Vehicle_Class],$A17,tbl_RawData[Month],$B17)-SUMIFS(tbl_RawData[Depreciation_EUR],tbl_RawData[Vehicle_Class],$A17,tbl_RawData[Month],$B17)</f>
        <v>10812.040000000003</v>
      </c>
      <c r="H17" s="13">
        <f>SUMIFS(tbl_Budget[Budgeted_Revenue_EUR],tbl_Budget[Vehicle_Class],$A17,tbl_Budget[Month],$B17)-SUMIFS(tbl_Budget[Budgeted_Variable_Cost_EUR],tbl_Budget[Vehicle_Class],$A17,tbl_Budget[Month],$B17)-SUMIFS(tbl_Budget[Budgeted_Fixed_Cost_EUR],tbl_Budget[Vehicle_Class],$A17,tbl_Budget[Month],$B17)</f>
        <v>11500</v>
      </c>
      <c r="I17" s="13">
        <f t="shared" si="0"/>
        <v>-687.95999999999731</v>
      </c>
      <c r="J17" s="6">
        <f t="shared" si="1"/>
        <v>-5.9822608695651938E-2</v>
      </c>
      <c r="K17" s="14">
        <f>SUMIFS(tbl_RawData[Rental_Days],tbl_RawData[Vehicle_Class],$A17,tbl_RawData[Month],$B17)</f>
        <v>131</v>
      </c>
      <c r="L17" s="14">
        <f>SUMIFS(tbl_Budget[Budgeted_Rental_Days],tbl_Budget[Vehicle_Class],$A17,tbl_Budget[Month],$B17)</f>
        <v>140</v>
      </c>
      <c r="M17" s="14">
        <f t="shared" si="2"/>
        <v>-9</v>
      </c>
      <c r="N17" t="str">
        <f t="shared" si="3"/>
        <v>WATCH</v>
      </c>
    </row>
    <row r="18" spans="1:14" x14ac:dyDescent="0.3">
      <c r="A18" t="s">
        <v>18</v>
      </c>
      <c r="B18" t="s">
        <v>34</v>
      </c>
      <c r="C18" s="13">
        <f>SUMIFS(tbl_RawData[Revenue_EUR],tbl_RawData[Vehicle_Class],$A18,tbl_RawData[Month],$B18)</f>
        <v>22654.37</v>
      </c>
      <c r="D18" s="13">
        <f>SUMIFS(tbl_Budget[Budgeted_Revenue_EUR],tbl_Budget[Vehicle_Class],$A18,tbl_Budget[Month],$B18)</f>
        <v>19500</v>
      </c>
      <c r="E18" s="13">
        <f t="shared" si="4"/>
        <v>3154.369999999999</v>
      </c>
      <c r="F18" s="6">
        <f t="shared" si="5"/>
        <v>0.16176256410256404</v>
      </c>
      <c r="G18" s="13">
        <f>SUMIFS(tbl_RawData[Revenue_EUR],tbl_RawData[Vehicle_Class],$A18,tbl_RawData[Month],$B18)-SUMIFS(tbl_RawData[Variable_Cost_EUR],tbl_RawData[Vehicle_Class],$A18,tbl_RawData[Month],$B18)-SUMIFS(tbl_RawData[Fixed_Cost_Allocation_EUR],tbl_RawData[Vehicle_Class],$A18,tbl_RawData[Month],$B18)-SUMIFS(tbl_RawData[Depreciation_EUR],tbl_RawData[Vehicle_Class],$A18,tbl_RawData[Month],$B18)</f>
        <v>12443.88</v>
      </c>
      <c r="H18" s="13">
        <f>SUMIFS(tbl_Budget[Budgeted_Revenue_EUR],tbl_Budget[Vehicle_Class],$A18,tbl_Budget[Month],$B18)-SUMIFS(tbl_Budget[Budgeted_Variable_Cost_EUR],tbl_Budget[Vehicle_Class],$A18,tbl_Budget[Month],$B18)-SUMIFS(tbl_Budget[Budgeted_Fixed_Cost_EUR],tbl_Budget[Vehicle_Class],$A18,tbl_Budget[Month],$B18)</f>
        <v>11300</v>
      </c>
      <c r="I18" s="13">
        <f t="shared" si="0"/>
        <v>1143.8799999999992</v>
      </c>
      <c r="J18" s="6">
        <f t="shared" si="1"/>
        <v>0.10122831858407072</v>
      </c>
      <c r="K18" s="14">
        <f>SUMIFS(tbl_RawData[Rental_Days],tbl_RawData[Vehicle_Class],$A18,tbl_RawData[Month],$B18)</f>
        <v>153</v>
      </c>
      <c r="L18" s="14">
        <f>SUMIFS(tbl_Budget[Budgeted_Rental_Days],tbl_Budget[Vehicle_Class],$A18,tbl_Budget[Month],$B18)</f>
        <v>136</v>
      </c>
      <c r="M18" s="14">
        <f t="shared" si="2"/>
        <v>17</v>
      </c>
      <c r="N18" t="str">
        <f t="shared" si="3"/>
        <v>OK</v>
      </c>
    </row>
    <row r="19" spans="1:14" x14ac:dyDescent="0.3">
      <c r="A19" t="s">
        <v>18</v>
      </c>
      <c r="B19" t="s">
        <v>26</v>
      </c>
      <c r="C19" s="13">
        <f>SUMIFS(tbl_RawData[Revenue_EUR],tbl_RawData[Vehicle_Class],$A19,tbl_RawData[Month],$B19)</f>
        <v>17906.63</v>
      </c>
      <c r="D19" s="13">
        <f>SUMIFS(tbl_Budget[Budgeted_Revenue_EUR],tbl_Budget[Vehicle_Class],$A19,tbl_Budget[Month],$B19)</f>
        <v>21500</v>
      </c>
      <c r="E19" s="13">
        <f t="shared" si="4"/>
        <v>-3593.369999999999</v>
      </c>
      <c r="F19" s="6">
        <f t="shared" si="5"/>
        <v>-0.16713348837209296</v>
      </c>
      <c r="G19" s="13">
        <f>SUMIFS(tbl_RawData[Revenue_EUR],tbl_RawData[Vehicle_Class],$A19,tbl_RawData[Month],$B19)-SUMIFS(tbl_RawData[Variable_Cost_EUR],tbl_RawData[Vehicle_Class],$A19,tbl_RawData[Month],$B19)-SUMIFS(tbl_RawData[Fixed_Cost_Allocation_EUR],tbl_RawData[Vehicle_Class],$A19,tbl_RawData[Month],$B19)-SUMIFS(tbl_RawData[Depreciation_EUR],tbl_RawData[Vehicle_Class],$A19,tbl_RawData[Month],$B19)</f>
        <v>10072.02</v>
      </c>
      <c r="H19" s="13">
        <f>SUMIFS(tbl_Budget[Budgeted_Revenue_EUR],tbl_Budget[Vehicle_Class],$A19,tbl_Budget[Month],$B19)-SUMIFS(tbl_Budget[Budgeted_Variable_Cost_EUR],tbl_Budget[Vehicle_Class],$A19,tbl_Budget[Month],$B19)-SUMIFS(tbl_Budget[Budgeted_Fixed_Cost_EUR],tbl_Budget[Vehicle_Class],$A19,tbl_Budget[Month],$B19)</f>
        <v>12600</v>
      </c>
      <c r="I19" s="13">
        <f t="shared" si="0"/>
        <v>-2527.9799999999996</v>
      </c>
      <c r="J19" s="6">
        <f t="shared" si="1"/>
        <v>-0.2006333333333333</v>
      </c>
      <c r="K19" s="14">
        <f>SUMIFS(tbl_RawData[Rental_Days],tbl_RawData[Vehicle_Class],$A19,tbl_RawData[Month],$B19)</f>
        <v>119</v>
      </c>
      <c r="L19" s="14">
        <f>SUMIFS(tbl_Budget[Budgeted_Rental_Days],tbl_Budget[Vehicle_Class],$A19,tbl_Budget[Month],$B19)</f>
        <v>150</v>
      </c>
      <c r="M19" s="14">
        <f t="shared" si="2"/>
        <v>-31</v>
      </c>
      <c r="N19" t="str">
        <f t="shared" si="3"/>
        <v>REVIEW</v>
      </c>
    </row>
  </sheetData>
  <phoneticPr fontId="2" type="noConversion"/>
  <conditionalFormatting sqref="N2:N19">
    <cfRule type="cellIs" dxfId="17" priority="1" operator="equal">
      <formula>"OK"</formula>
    </cfRule>
    <cfRule type="cellIs" dxfId="16" priority="2" operator="equal">
      <formula>"WATCH"</formula>
    </cfRule>
    <cfRule type="cellIs" dxfId="15" priority="3" operator="equal">
      <formula>"REVIEW"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KPI_DASHBOARD</vt:lpstr>
      <vt:lpstr>RAW_DATA</vt:lpstr>
      <vt:lpstr>BUDGET</vt:lpstr>
      <vt:lpstr>SUMMARY</vt:lpstr>
      <vt:lpstr>VARIANCE</vt:lpstr>
      <vt:lpstr>KPI_DASHBOARD!Print_Area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 Jagdish Prasad</dc:creator>
  <cp:lastModifiedBy>Pragya Jagdish Prasad</cp:lastModifiedBy>
  <cp:lastPrinted>2026-04-13T22:12:29Z</cp:lastPrinted>
  <dcterms:created xsi:type="dcterms:W3CDTF">2026-04-13T11:58:18Z</dcterms:created>
  <dcterms:modified xsi:type="dcterms:W3CDTF">2026-04-13T22:13:40Z</dcterms:modified>
</cp:coreProperties>
</file>